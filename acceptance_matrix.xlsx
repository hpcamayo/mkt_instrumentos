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a8ff1c696e46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eptance Matrix" sheetId="1" r:id="R7c30f09fb1684ccc"/>
    <x:sheet xmlns:r="http://schemas.openxmlformats.org/officeDocument/2006/relationships" name="Coverage Summary" sheetId="2" r:id="R1d1959c6f94149f1"/>
    <x:sheet xmlns:r="http://schemas.openxmlformats.org/officeDocument/2006/relationships" name="Test Personas" sheetId="3" r:id="R3cafc28c00774d7a"/>
    <x:sheet xmlns:r="http://schemas.openxmlformats.org/officeDocument/2006/relationships" name="Spec Traceability" sheetId="4" r:id="Rceb6a90ece6340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1EA16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01217"/>
      </x:patternFill>
    </x:fill>
    <x:fill>
      <x:patternFill patternType="solid">
        <x:fgColor rgb="FF050608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4">
    <x:dxf>
      <x:fill>
        <x:patternFill patternType="solid">
          <x:bgColor rgb="FFDCFCE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F3C7"/>
        </x:patternFill>
      </x:fill>
    </x:dxf>
    <x:dxf>
      <x:font>
        <x:b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4c3c02ea9243d2" /><Relationship Type="http://schemas.openxmlformats.org/officeDocument/2006/relationships/theme" Target="/xl/theme/theme1.xml" Id="R777272243b0247ff" /><Relationship Type="http://schemas.openxmlformats.org/officeDocument/2006/relationships/sharedStrings" Target="/xl/sharedStrings.xml" Id="Rd084977989f2412a" /><Relationship Type="http://schemas.openxmlformats.org/officeDocument/2006/relationships/worksheet" Target="/xl/worksheets/sheet1.xml" Id="R7c30f09fb1684ccc" /><Relationship Type="http://schemas.openxmlformats.org/officeDocument/2006/relationships/worksheet" Target="/xl/worksheets/sheet2.xml" Id="R1d1959c6f94149f1" /><Relationship Type="http://schemas.openxmlformats.org/officeDocument/2006/relationships/worksheet" Target="/xl/worksheets/sheet3.xml" Id="R3cafc28c00774d7a" /><Relationship Type="http://schemas.openxmlformats.org/officeDocument/2006/relationships/worksheet" Target="/xl/worksheets/sheet4.xml" Id="Rceb6a90ece6340d9" /></Relationships>
</file>

<file path=xl/tables/table1.xml><?xml version="1.0" encoding="utf-8"?>
<x:table xmlns:x="http://schemas.openxmlformats.org/spreadsheetml/2006/main" id="1" name="AcceptanceMatrix" displayName="AcceptanceMatrix" ref="A1:P350" headerRowCount="1" totalsRowCount="0" totalsRowShown="0">
  <x:tableColumns count="16">
    <x:tableColumn id="1" name="Test ID"/>
    <x:tableColumn id="2" name="Domain"/>
    <x:tableColumn id="3" name="Subdomain"/>
    <x:tableColumn id="4" name="Scenario"/>
    <x:tableColumn id="5" name="Preconditions"/>
    <x:tableColumn id="6" name="Steps"/>
    <x:tableColumn id="7" name="Expected Result"/>
    <x:tableColumn id="8" name="Actor"/>
    <x:tableColumn id="9" name="Test Level"/>
    <x:tableColumn id="10" name="Automation"/>
    <x:tableColumn id="11" name="Priority"/>
    <x:tableColumn id="12" name="Release Gate"/>
    <x:tableColumn id="13" name="Spec Ref"/>
    <x:tableColumn id="14" name="Baseline Impl."/>
    <x:tableColumn id="15" name="Execution Status"/>
    <x:tableColumn id="16" name="Evidence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Personas" displayName="TestPersonas" ref="A1:D13" headerRowCount="1" totalsRowCount="0" totalsRowShown="0">
  <x:tableColumns count="4">
    <x:tableColumn id="1" name="Fixture"/>
    <x:tableColumn id="2" name="Role"/>
    <x:tableColumn id="3" name="Purpose"/>
    <x:tableColumn id="4" name="Minimum Setup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pecTraceability" displayName="SpecTraceability" ref="A1:D23" headerRowCount="1" totalsRowCount="0" totalsRowShown="0">
  <x:tableColumns count="4">
    <x:tableColumn id="1" name="Spec Section"/>
    <x:tableColumn id="2" name="Spec Lines"/>
    <x:tableColumn id="3" name="Mapped Test Prefixes"/>
    <x:tableColumn id="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0ae8ff4ffc24c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2fe027e2ac47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4ccdf66fc0d4447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0" hidden="0" customWidth="1"/>
    <x:col min="3" max="3" width="24" hidden="0" customWidth="1"/>
    <x:col min="4" max="4" width="42" hidden="0" customWidth="1"/>
    <x:col min="5" max="5" width="36" hidden="0" customWidth="1"/>
    <x:col min="6" max="6" width="42" hidden="0" customWidth="1"/>
    <x:col min="7" max="7" width="48" hidden="0" customWidth="1"/>
    <x:col min="8" max="8" width="16" hidden="0" customWidth="1"/>
    <x:col min="9" max="9" width="16" hidden="0" customWidth="1"/>
    <x:col min="10" max="10" width="14" hidden="0" customWidth="1"/>
    <x:col min="11" max="11" width="10" hidden="0" customWidth="1"/>
    <x:col min="12" max="12" width="13" hidden="0" customWidth="1"/>
    <x:col min="13" max="13" width="18" hidden="0" customWidth="1"/>
    <x:col min="14" max="14" width="14" hidden="0" customWidth="1"/>
    <x:col min="15" max="15" width="14" hidden="0" customWidth="1"/>
    <x:col min="16" max="16" width="34" hidden="0" customWidth="1"/>
  </x:cols>
  <x:sheetData>
    <x:row r="1">
      <x:c r="A1" s="14" t="str">
        <x:v>Test ID</x:v>
      </x:c>
      <x:c r="B1" s="14" t="str">
        <x:v>Domain</x:v>
      </x:c>
      <x:c r="C1" s="14" t="str">
        <x:v>Subdomain</x:v>
      </x:c>
      <x:c r="D1" s="14" t="str">
        <x:v>Scenario</x:v>
      </x:c>
      <x:c r="E1" s="14" t="str">
        <x:v>Preconditions</x:v>
      </x:c>
      <x:c r="F1" s="14" t="str">
        <x:v>Steps</x:v>
      </x:c>
      <x:c r="G1" s="14" t="str">
        <x:v>Expected Result</x:v>
      </x:c>
      <x:c r="H1" s="14" t="str">
        <x:v>Actor</x:v>
      </x:c>
      <x:c r="I1" s="14" t="str">
        <x:v>Test Level</x:v>
      </x:c>
      <x:c r="J1" s="14" t="str">
        <x:v>Automation</x:v>
      </x:c>
      <x:c r="K1" s="14" t="str">
        <x:v>Priority</x:v>
      </x:c>
      <x:c r="L1" s="14" t="str">
        <x:v>Release Gate</x:v>
      </x:c>
      <x:c r="M1" s="14" t="str">
        <x:v>Spec Ref</x:v>
      </x:c>
      <x:c r="N1" s="14" t="str">
        <x:v>Baseline Impl.</x:v>
      </x:c>
      <x:c r="O1" s="14" t="str">
        <x:v>Execution Status</x:v>
      </x:c>
      <x:c r="P1" s="14" t="str">
        <x:v>Evidence / Notes</x:v>
      </x:c>
    </x:row>
    <x:row r="2">
      <x:c r="A2" s="15" t="str">
        <x:v>PUB-001</x:v>
      </x:c>
      <x:c r="B2" s="15" t="str">
        <x:v>Public Marketplace</x:v>
      </x:c>
      <x:c r="C2" s="15" t="str">
        <x:v>Public access</x:v>
      </x:c>
      <x:c r="D2" s="15" t="str">
        <x:v>Anonymous user can browse homepage</x:v>
      </x:c>
      <x:c r="E2" s="15" t="str">
        <x:v>No session.</x:v>
      </x:c>
      <x:c r="F2" s="15" t="str">
        <x:v>Open `/`.</x:v>
      </x:c>
      <x:c r="G2" s="15" t="str">
        <x:v>Homepage renders without login and exposes public marketplace navigation.</x:v>
      </x:c>
      <x:c r="H2" s="15" t="str">
        <x:v>Anonymous</x:v>
      </x:c>
      <x:c r="I2" s="15" t="str">
        <x:v>E2E</x:v>
      </x:c>
      <x:c r="J2" s="15" t="str">
        <x:v>Automated</x:v>
      </x:c>
      <x:c r="K2" s="15" t="str">
        <x:v>P0</x:v>
      </x:c>
      <x:c r="L2" s="15" t="str">
        <x:v>Blocking</x:v>
      </x:c>
      <x:c r="M2" s="15" t="str">
        <x:v>L12-L25</x:v>
      </x:c>
      <x:c r="N2" s="15" t="str">
        <x:v>DONE</x:v>
      </x:c>
      <x:c r="O2" s="15" t="str">
        <x:v>Not Run</x:v>
      </x:c>
      <x:c r="P2" s="15" t="str"/>
    </x:row>
    <x:row r="3">
      <x:c r="A3" s="15" t="str">
        <x:v>PUB-002</x:v>
      </x:c>
      <x:c r="B3" s="15" t="str">
        <x:v>Public Marketplace</x:v>
      </x:c>
      <x:c r="C3" s="15" t="str">
        <x:v>Public access</x:v>
      </x:c>
      <x:c r="D3" s="15" t="str">
        <x:v>Anonymous user can browse approved listings</x:v>
      </x:c>
      <x:c r="E3" s="15" t="str">
        <x:v>Approved listings exist.</x:v>
      </x:c>
      <x:c r="F3" s="15" t="str">
        <x:v>Open `/listados`.</x:v>
      </x:c>
      <x:c r="G3" s="15" t="str">
        <x:v>Approved public inventory is visible without authentication.</x:v>
      </x:c>
      <x:c r="H3" s="15" t="str">
        <x:v>Anonymous</x:v>
      </x:c>
      <x:c r="I3" s="15" t="str">
        <x:v>E2E</x:v>
      </x:c>
      <x:c r="J3" s="15" t="str">
        <x:v>Automated</x:v>
      </x:c>
      <x:c r="K3" s="15" t="str">
        <x:v>P0</x:v>
      </x:c>
      <x:c r="L3" s="15" t="str">
        <x:v>Blocking</x:v>
      </x:c>
      <x:c r="M3" s="15" t="str">
        <x:v>L12-L25</x:v>
      </x:c>
      <x:c r="N3" s="15" t="str">
        <x:v>DONE</x:v>
      </x:c>
      <x:c r="O3" s="15" t="str">
        <x:v>Not Run</x:v>
      </x:c>
      <x:c r="P3" s="15" t="str"/>
    </x:row>
    <x:row r="4">
      <x:c r="A4" s="15" t="str">
        <x:v>PUB-003</x:v>
      </x:c>
      <x:c r="B4" s="15" t="str">
        <x:v>Public Marketplace</x:v>
      </x:c>
      <x:c r="C4" s="15" t="str">
        <x:v>Public access</x:v>
      </x:c>
      <x:c r="D4" s="15" t="str">
        <x:v>Anonymous user can open an approved listing detail</x:v>
      </x:c>
      <x:c r="E4" s="15" t="str">
        <x:v>Approved listing exists.</x:v>
      </x:c>
      <x:c r="F4" s="15" t="str">
        <x:v>Open its detail URL.</x:v>
      </x:c>
      <x:c r="G4" s="15" t="str">
        <x:v>Listing detail is readable without authentication.</x:v>
      </x:c>
      <x:c r="H4" s="15" t="str">
        <x:v>Anonymous</x:v>
      </x:c>
      <x:c r="I4" s="15" t="str">
        <x:v>E2E</x:v>
      </x:c>
      <x:c r="J4" s="15" t="str">
        <x:v>Automated</x:v>
      </x:c>
      <x:c r="K4" s="15" t="str">
        <x:v>P0</x:v>
      </x:c>
      <x:c r="L4" s="15" t="str">
        <x:v>Blocking</x:v>
      </x:c>
      <x:c r="M4" s="15" t="str">
        <x:v>L12-L25</x:v>
      </x:c>
      <x:c r="N4" s="15" t="str">
        <x:v>DONE</x:v>
      </x:c>
      <x:c r="O4" s="15" t="str">
        <x:v>Not Run</x:v>
      </x:c>
      <x:c r="P4" s="15" t="str"/>
    </x:row>
    <x:row r="5">
      <x:c r="A5" s="15" t="str">
        <x:v>PUB-004</x:v>
      </x:c>
      <x:c r="B5" s="15" t="str">
        <x:v>Public Marketplace</x:v>
      </x:c>
      <x:c r="C5" s="15" t="str">
        <x:v>Public access</x:v>
      </x:c>
      <x:c r="D5" s="15" t="str">
        <x:v>Anonymous user can open an active public store page</x:v>
      </x:c>
      <x:c r="E5" s="15" t="str">
        <x:v>Active store exists.</x:v>
      </x:c>
      <x:c r="F5" s="15" t="str">
        <x:v>Open store URL.</x:v>
      </x:c>
      <x:c r="G5" s="15" t="str">
        <x:v>Store page and eligible inventory are public.</x:v>
      </x:c>
      <x:c r="H5" s="15" t="str">
        <x:v>Anonymous</x:v>
      </x:c>
      <x:c r="I5" s="15" t="str">
        <x:v>E2E</x:v>
      </x:c>
      <x:c r="J5" s="15" t="str">
        <x:v>Automated</x:v>
      </x:c>
      <x:c r="K5" s="15" t="str">
        <x:v>P1</x:v>
      </x:c>
      <x:c r="L5" s="15" t="str">
        <x:v>Blocking</x:v>
      </x:c>
      <x:c r="M5" s="15" t="str">
        <x:v>L12-L25</x:v>
      </x:c>
      <x:c r="N5" s="15" t="str">
        <x:v>DONE</x:v>
      </x:c>
      <x:c r="O5" s="15" t="str">
        <x:v>Not Run</x:v>
      </x:c>
      <x:c r="P5" s="15" t="str"/>
    </x:row>
    <x:row r="6">
      <x:c r="A6" s="15" t="str">
        <x:v>PUB-005</x:v>
      </x:c>
      <x:c r="B6" s="15" t="str">
        <x:v>Public Marketplace</x:v>
      </x:c>
      <x:c r="C6" s="15" t="str">
        <x:v>Public access</x:v>
      </x:c>
      <x:c r="D6" s="15" t="str">
        <x:v>Private account features do not block public browsing</x:v>
      </x:c>
      <x:c r="E6" s="15" t="str">
        <x:v>No session.</x:v>
      </x:c>
      <x:c r="F6" s="15" t="str">
        <x:v>Browse catalog, detail and store pages.</x:v>
      </x:c>
      <x:c r="G6" s="15" t="str">
        <x:v>No forced signup/login occurs for normal browsing.</x:v>
      </x:c>
      <x:c r="H6" s="15" t="str">
        <x:v>Anonymous</x:v>
      </x:c>
      <x:c r="I6" s="15" t="str">
        <x:v>E2E</x:v>
      </x:c>
      <x:c r="J6" s="15" t="str">
        <x:v>Automated</x:v>
      </x:c>
      <x:c r="K6" s="15" t="str">
        <x:v>P0</x:v>
      </x:c>
      <x:c r="L6" s="15" t="str">
        <x:v>Blocking</x:v>
      </x:c>
      <x:c r="M6" s="15" t="str">
        <x:v>L12-L25</x:v>
      </x:c>
      <x:c r="N6" s="15" t="str">
        <x:v>DONE</x:v>
      </x:c>
      <x:c r="O6" s="15" t="str">
        <x:v>Not Run</x:v>
      </x:c>
      <x:c r="P6" s="15" t="str"/>
    </x:row>
    <x:row r="7">
      <x:c r="A7" s="15" t="str">
        <x:v>PUB-006</x:v>
      </x:c>
      <x:c r="B7" s="15" t="str">
        <x:v>Public Marketplace</x:v>
      </x:c>
      <x:c r="C7" s="15" t="str">
        <x:v>Public access</x:v>
      </x:c>
      <x:c r="D7" s="15" t="str">
        <x:v>Marketplace copy does not claim Laria processes payment</x:v>
      </x:c>
      <x:c r="E7" s="15" t="str">
        <x:v>Public pages available.</x:v>
      </x:c>
      <x:c r="F7" s="15" t="str">
        <x:v>Inspect purchase/contact trust copy.</x:v>
      </x:c>
      <x:c r="G7" s="15" t="str">
        <x:v>Copy does not imply checkout, escrow, delivery management or transaction guarantee.</x:v>
      </x:c>
      <x:c r="H7" s="15" t="str">
        <x:v>Anonymous</x:v>
      </x:c>
      <x:c r="I7" s="15" t="str">
        <x:v>Manual</x:v>
      </x:c>
      <x:c r="J7" s="15" t="str">
        <x:v>Manual</x:v>
      </x:c>
      <x:c r="K7" s="15" t="str">
        <x:v>P0</x:v>
      </x:c>
      <x:c r="L7" s="15" t="str">
        <x:v>Blocking</x:v>
      </x:c>
      <x:c r="M7" s="15" t="str">
        <x:v>L12-L25</x:v>
      </x:c>
      <x:c r="N7" s="15" t="str">
        <x:v>DONE</x:v>
      </x:c>
      <x:c r="O7" s="15" t="str">
        <x:v>Not Run</x:v>
      </x:c>
      <x:c r="P7" s="15" t="str"/>
    </x:row>
    <x:row r="8">
      <x:c r="A8" s="15" t="str">
        <x:v>PUB-007</x:v>
      </x:c>
      <x:c r="B8" s="15" t="str">
        <x:v>Public Marketplace</x:v>
      </x:c>
      <x:c r="C8" s="15" t="str">
        <x:v>Public access</x:v>
      </x:c>
      <x:c r="D8" s="15" t="str">
        <x:v>No internal chat entry point is exposed as a working V1 feature</x:v>
      </x:c>
      <x:c r="E8" s="15" t="str">
        <x:v>Public and account pages available.</x:v>
      </x:c>
      <x:c r="F8" s="15" t="str">
        <x:v>Inspect primary marketplace actions.</x:v>
      </x:c>
      <x:c r="G8" s="15" t="str">
        <x:v>Contact path remains external/WhatsApp; no fake internal-chat workflow is offered.</x:v>
      </x:c>
      <x:c r="H8" s="15" t="str">
        <x:v>All</x:v>
      </x:c>
      <x:c r="I8" s="15" t="str">
        <x:v>Manual</x:v>
      </x:c>
      <x:c r="J8" s="15" t="str">
        <x:v>Manual</x:v>
      </x:c>
      <x:c r="K8" s="15" t="str">
        <x:v>P1</x:v>
      </x:c>
      <x:c r="L8" s="15" t="str">
        <x:v>Blocking</x:v>
      </x:c>
      <x:c r="M8" s="15" t="str">
        <x:v>L12-L25</x:v>
      </x:c>
      <x:c r="N8" s="15" t="str">
        <x:v>DONE</x:v>
      </x:c>
      <x:c r="O8" s="15" t="str">
        <x:v>Not Run</x:v>
      </x:c>
      <x:c r="P8" s="15" t="str"/>
    </x:row>
    <x:row r="9">
      <x:c r="A9" s="15" t="str">
        <x:v>AUTH-001</x:v>
      </x:c>
      <x:c r="B9" s="15" t="str">
        <x:v>Accounts &amp; Authentication</x:v>
      </x:c>
      <x:c r="C9" s="15" t="str">
        <x:v>Particular account</x:v>
      </x:c>
      <x:c r="D9" s="15" t="str">
        <x:v>Particular signup succeeds with required profile data</x:v>
      </x:c>
      <x:c r="E9" s="15" t="str">
        <x:v>Unique email and phone.</x:v>
      </x:c>
      <x:c r="F9" s="15" t="str">
        <x:v>Complete signup with valid name/email/password/WhatsApp/location.</x:v>
      </x:c>
      <x:c r="G9" s="15" t="str">
        <x:v>Auth user and Particular profile are created; confirmation behavior follows configuration.</x:v>
      </x:c>
      <x:c r="H9" s="15" t="str">
        <x:v>Particular</x:v>
      </x:c>
      <x:c r="I9" s="15" t="str">
        <x:v>E2E</x:v>
      </x:c>
      <x:c r="J9" s="15" t="str">
        <x:v>Automated</x:v>
      </x:c>
      <x:c r="K9" s="15" t="str">
        <x:v>P0</x:v>
      </x:c>
      <x:c r="L9" s="15" t="str">
        <x:v>Blocking</x:v>
      </x:c>
      <x:c r="M9" s="15" t="str">
        <x:v>L27-L57</x:v>
      </x:c>
      <x:c r="N9" s="15" t="str">
        <x:v>MODIFY</x:v>
      </x:c>
      <x:c r="O9" s="15" t="str">
        <x:v>Not Run</x:v>
      </x:c>
      <x:c r="P9" s="15" t="str"/>
    </x:row>
    <x:row r="10">
      <x:c r="A10" s="15" t="str">
        <x:v>AUTH-002</x:v>
      </x:c>
      <x:c r="B10" s="15" t="str">
        <x:v>Accounts &amp; Authentication</x:v>
      </x:c>
      <x:c r="C10" s="15" t="str">
        <x:v>Particular account</x:v>
      </x:c>
      <x:c r="D10" s="15" t="str">
        <x:v>Duplicate email signup is rejected cleanly</x:v>
      </x:c>
      <x:c r="E10" s="15" t="str">
        <x:v>Existing auth email.</x:v>
      </x:c>
      <x:c r="F10" s="15" t="str">
        <x:v>Attempt signup with same email.</x:v>
      </x:c>
      <x:c r="G10" s="15" t="str">
        <x:v>User gets safe duplicate-account guidance; no duplicate account/profile is created.</x:v>
      </x:c>
      <x:c r="H10" s="15" t="str">
        <x:v>Particular</x:v>
      </x:c>
      <x:c r="I10" s="15" t="str">
        <x:v>E2E</x:v>
      </x:c>
      <x:c r="J10" s="15" t="str">
        <x:v>Automated</x:v>
      </x:c>
      <x:c r="K10" s="15" t="str">
        <x:v>P0</x:v>
      </x:c>
      <x:c r="L10" s="15" t="str">
        <x:v>Blocking</x:v>
      </x:c>
      <x:c r="M10" s="15" t="str">
        <x:v>L27-L57</x:v>
      </x:c>
      <x:c r="N10" s="15" t="str">
        <x:v>MODIFY</x:v>
      </x:c>
      <x:c r="O10" s="15" t="str">
        <x:v>Not Run</x:v>
      </x:c>
      <x:c r="P10" s="15" t="str"/>
    </x:row>
    <x:row r="11">
      <x:c r="A11" s="15" t="str">
        <x:v>AUTH-003</x:v>
      </x:c>
      <x:c r="B11" s="15" t="str">
        <x:v>Accounts &amp; Authentication</x:v>
      </x:c>
      <x:c r="C11" s="15" t="str">
        <x:v>Particular account</x:v>
      </x:c>
      <x:c r="D11" s="15" t="str">
        <x:v>Email confirmation completes signup</x:v>
      </x:c>
      <x:c r="E11" s="15" t="str">
        <x:v>Unconfirmed Particular signup.</x:v>
      </x:c>
      <x:c r="F11" s="15" t="str">
        <x:v>Follow valid confirmation link.</x:v>
      </x:c>
      <x:c r="G11" s="15" t="str">
        <x:v>Session/profile complete and user reaches intended success/account destination.</x:v>
      </x:c>
      <x:c r="H11" s="15" t="str">
        <x:v>Particular</x:v>
      </x:c>
      <x:c r="I11" s="15" t="str">
        <x:v>E2E</x:v>
      </x:c>
      <x:c r="J11" s="15" t="str">
        <x:v>Both</x:v>
      </x:c>
      <x:c r="K11" s="15" t="str">
        <x:v>P0</x:v>
      </x:c>
      <x:c r="L11" s="15" t="str">
        <x:v>Blocking</x:v>
      </x:c>
      <x:c r="M11" s="15" t="str">
        <x:v>L27-L57</x:v>
      </x:c>
      <x:c r="N11" s="15" t="str">
        <x:v>MODIFY</x:v>
      </x:c>
      <x:c r="O11" s="15" t="str">
        <x:v>Not Run</x:v>
      </x:c>
      <x:c r="P11" s="15" t="str"/>
    </x:row>
    <x:row r="12">
      <x:c r="A12" s="15" t="str">
        <x:v>AUTH-004</x:v>
      </x:c>
      <x:c r="B12" s="15" t="str">
        <x:v>Accounts &amp; Authentication</x:v>
      </x:c>
      <x:c r="C12" s="15" t="str">
        <x:v>Particular account</x:v>
      </x:c>
      <x:c r="D12" s="15" t="str">
        <x:v>Expired/invalid confirmation link fails safely</x:v>
      </x:c>
      <x:c r="E12" s="15" t="str">
        <x:v>Invalid or expired link.</x:v>
      </x:c>
      <x:c r="F12" s="15" t="str">
        <x:v>Open callback link.</x:v>
      </x:c>
      <x:c r="G12" s="15" t="str">
        <x:v>No session corruption; user sees a recoverable error path.</x:v>
      </x:c>
      <x:c r="H12" s="15" t="str">
        <x:v>Particular</x:v>
      </x:c>
      <x:c r="I12" s="15" t="str">
        <x:v>E2E</x:v>
      </x:c>
      <x:c r="J12" s="15" t="str">
        <x:v>Automated</x:v>
      </x:c>
      <x:c r="K12" s="15" t="str">
        <x:v>P1</x:v>
      </x:c>
      <x:c r="L12" s="15" t="str">
        <x:v>Blocking</x:v>
      </x:c>
      <x:c r="M12" s="15" t="str">
        <x:v>L27-L57</x:v>
      </x:c>
      <x:c r="N12" s="15" t="str">
        <x:v>MODIFY</x:v>
      </x:c>
      <x:c r="O12" s="15" t="str">
        <x:v>Not Run</x:v>
      </x:c>
      <x:c r="P12" s="15" t="str"/>
    </x:row>
    <x:row r="13">
      <x:c r="A13" s="15" t="str">
        <x:v>AUTH-005</x:v>
      </x:c>
      <x:c r="B13" s="15" t="str">
        <x:v>Accounts &amp; Authentication</x:v>
      </x:c>
      <x:c r="C13" s="15" t="str">
        <x:v>Particular account</x:v>
      </x:c>
      <x:c r="D13" s="15" t="str">
        <x:v>Password login succeeds</x:v>
      </x:c>
      <x:c r="E13" s="15" t="str">
        <x:v>Confirmed account.</x:v>
      </x:c>
      <x:c r="F13" s="15" t="str">
        <x:v>Login with correct email/password.</x:v>
      </x:c>
      <x:c r="G13" s="15" t="str">
        <x:v>Authenticated session established and account area accessible.</x:v>
      </x:c>
      <x:c r="H13" s="15" t="str">
        <x:v>Particular</x:v>
      </x:c>
      <x:c r="I13" s="15" t="str">
        <x:v>E2E</x:v>
      </x:c>
      <x:c r="J13" s="15" t="str">
        <x:v>Automated</x:v>
      </x:c>
      <x:c r="K13" s="15" t="str">
        <x:v>P0</x:v>
      </x:c>
      <x:c r="L13" s="15" t="str">
        <x:v>Blocking</x:v>
      </x:c>
      <x:c r="M13" s="15" t="str">
        <x:v>L27-L57</x:v>
      </x:c>
      <x:c r="N13" s="15" t="str">
        <x:v>MODIFY</x:v>
      </x:c>
      <x:c r="O13" s="15" t="str">
        <x:v>Not Run</x:v>
      </x:c>
      <x:c r="P13" s="15" t="str"/>
    </x:row>
    <x:row r="14">
      <x:c r="A14" s="15" t="str">
        <x:v>AUTH-006</x:v>
      </x:c>
      <x:c r="B14" s="15" t="str">
        <x:v>Accounts &amp; Authentication</x:v>
      </x:c>
      <x:c r="C14" s="15" t="str">
        <x:v>Particular account</x:v>
      </x:c>
      <x:c r="D14" s="15" t="str">
        <x:v>Password login rejects wrong password</x:v>
      </x:c>
      <x:c r="E14" s="15" t="str">
        <x:v>Confirmed account.</x:v>
      </x:c>
      <x:c r="F14" s="15" t="str">
        <x:v>Login with wrong password.</x:v>
      </x:c>
      <x:c r="G14" s="15" t="str">
        <x:v>Authentication fails without revealing sensitive account details.</x:v>
      </x:c>
      <x:c r="H14" s="15" t="str">
        <x:v>Particular</x:v>
      </x:c>
      <x:c r="I14" s="15" t="str">
        <x:v>E2E</x:v>
      </x:c>
      <x:c r="J14" s="15" t="str">
        <x:v>Automated</x:v>
      </x:c>
      <x:c r="K14" s="15" t="str">
        <x:v>P0</x:v>
      </x:c>
      <x:c r="L14" s="15" t="str">
        <x:v>Blocking</x:v>
      </x:c>
      <x:c r="M14" s="15" t="str">
        <x:v>L27-L57</x:v>
      </x:c>
      <x:c r="N14" s="15" t="str">
        <x:v>MODIFY</x:v>
      </x:c>
      <x:c r="O14" s="15" t="str">
        <x:v>Not Run</x:v>
      </x:c>
      <x:c r="P14" s="15" t="str"/>
    </x:row>
    <x:row r="15">
      <x:c r="A15" s="15" t="str">
        <x:v>AUTH-007</x:v>
      </x:c>
      <x:c r="B15" s="15" t="str">
        <x:v>Accounts &amp; Authentication</x:v>
      </x:c>
      <x:c r="C15" s="15" t="str">
        <x:v>Particular account</x:v>
      </x:c>
      <x:c r="D15" s="15" t="str">
        <x:v>Magic-link login succeeds for existing user</x:v>
      </x:c>
      <x:c r="E15" s="15" t="str">
        <x:v>Existing account.</x:v>
      </x:c>
      <x:c r="F15" s="15" t="str">
        <x:v>Request and follow magic link.</x:v>
      </x:c>
      <x:c r="G15" s="15" t="str">
        <x:v>Session established; no new user is created.</x:v>
      </x:c>
      <x:c r="H15" s="15" t="str">
        <x:v>Particular</x:v>
      </x:c>
      <x:c r="I15" s="15" t="str">
        <x:v>E2E</x:v>
      </x:c>
      <x:c r="J15" s="15" t="str">
        <x:v>Both</x:v>
      </x:c>
      <x:c r="K15" s="15" t="str">
        <x:v>P1</x:v>
      </x:c>
      <x:c r="L15" s="15" t="str">
        <x:v>Blocking</x:v>
      </x:c>
      <x:c r="M15" s="15" t="str">
        <x:v>L27-L57</x:v>
      </x:c>
      <x:c r="N15" s="15" t="str">
        <x:v>MODIFY</x:v>
      </x:c>
      <x:c r="O15" s="15" t="str">
        <x:v>Not Run</x:v>
      </x:c>
      <x:c r="P15" s="15" t="str"/>
    </x:row>
    <x:row r="16">
      <x:c r="A16" s="15" t="str">
        <x:v>AUTH-008</x:v>
      </x:c>
      <x:c r="B16" s="15" t="str">
        <x:v>Accounts &amp; Authentication</x:v>
      </x:c>
      <x:c r="C16" s="15" t="str">
        <x:v>Particular account</x:v>
      </x:c>
      <x:c r="D16" s="15" t="str">
        <x:v>Magic-link login does not create unknown user</x:v>
      </x:c>
      <x:c r="E16" s="15" t="str">
        <x:v>Unregistered email.</x:v>
      </x:c>
      <x:c r="F16" s="15" t="str">
        <x:v>Request login magic link.</x:v>
      </x:c>
      <x:c r="G16" s="15" t="str">
        <x:v>No unintended account is created.</x:v>
      </x:c>
      <x:c r="H16" s="15" t="str">
        <x:v>Anonymous</x:v>
      </x:c>
      <x:c r="I16" s="15" t="str">
        <x:v>API</x:v>
      </x:c>
      <x:c r="J16" s="15" t="str">
        <x:v>Automated</x:v>
      </x:c>
      <x:c r="K16" s="15" t="str">
        <x:v>P0</x:v>
      </x:c>
      <x:c r="L16" s="15" t="str">
        <x:v>Blocking</x:v>
      </x:c>
      <x:c r="M16" s="15" t="str">
        <x:v>L27-L57</x:v>
      </x:c>
      <x:c r="N16" s="15" t="str">
        <x:v>MODIFY</x:v>
      </x:c>
      <x:c r="O16" s="15" t="str">
        <x:v>Not Run</x:v>
      </x:c>
      <x:c r="P16" s="15" t="str"/>
    </x:row>
    <x:row r="17">
      <x:c r="A17" s="15" t="str">
        <x:v>AUTH-009</x:v>
      </x:c>
      <x:c r="B17" s="15" t="str">
        <x:v>Accounts &amp; Authentication</x:v>
      </x:c>
      <x:c r="C17" s="15" t="str">
        <x:v>Particular account</x:v>
      </x:c>
      <x:c r="D17" s="15" t="str">
        <x:v>Logout clears protected session</x:v>
      </x:c>
      <x:c r="E17" s="15" t="str">
        <x:v>Authenticated account.</x:v>
      </x:c>
      <x:c r="F17" s="15" t="str">
        <x:v>Log out then open `/mi-cuenta`.</x:v>
      </x:c>
      <x:c r="G17" s="15" t="str">
        <x:v>User is signed out and protected page redirects to login.</x:v>
      </x:c>
      <x:c r="H17" s="15" t="str">
        <x:v>Particular</x:v>
      </x:c>
      <x:c r="I17" s="15" t="str">
        <x:v>E2E</x:v>
      </x:c>
      <x:c r="J17" s="15" t="str">
        <x:v>Automated</x:v>
      </x:c>
      <x:c r="K17" s="15" t="str">
        <x:v>P0</x:v>
      </x:c>
      <x:c r="L17" s="15" t="str">
        <x:v>Blocking</x:v>
      </x:c>
      <x:c r="M17" s="15" t="str">
        <x:v>L27-L57</x:v>
      </x:c>
      <x:c r="N17" s="15" t="str">
        <x:v>MODIFY</x:v>
      </x:c>
      <x:c r="O17" s="15" t="str">
        <x:v>Not Run</x:v>
      </x:c>
      <x:c r="P17" s="15" t="str"/>
    </x:row>
    <x:row r="18">
      <x:c r="A18" s="15" t="str">
        <x:v>AUTH-010</x:v>
      </x:c>
      <x:c r="B18" s="15" t="str">
        <x:v>Accounts &amp; Authentication</x:v>
      </x:c>
      <x:c r="C18" s="15" t="str">
        <x:v>Particular account</x:v>
      </x:c>
      <x:c r="D18" s="15" t="str">
        <x:v>Forgot-password request succeeds for valid account</x:v>
      </x:c>
      <x:c r="E18" s="15" t="str">
        <x:v>Existing account.</x:v>
      </x:c>
      <x:c r="F18" s="15" t="str">
        <x:v>Submit forgot-password flow.</x:v>
      </x:c>
      <x:c r="G18" s="15" t="str">
        <x:v>Recovery message is sent/queued without exposing credentials.</x:v>
      </x:c>
      <x:c r="H18" s="15" t="str">
        <x:v>Particular</x:v>
      </x:c>
      <x:c r="I18" s="15" t="str">
        <x:v>E2E</x:v>
      </x:c>
      <x:c r="J18" s="15" t="str">
        <x:v>Both</x:v>
      </x:c>
      <x:c r="K18" s="15" t="str">
        <x:v>P0</x:v>
      </x:c>
      <x:c r="L18" s="15" t="str">
        <x:v>Blocking</x:v>
      </x:c>
      <x:c r="M18" s="15" t="str">
        <x:v>L27-L57</x:v>
      </x:c>
      <x:c r="N18" s="15" t="str">
        <x:v>MODIFY</x:v>
      </x:c>
      <x:c r="O18" s="15" t="str">
        <x:v>Not Run</x:v>
      </x:c>
      <x:c r="P18" s="15" t="str"/>
    </x:row>
    <x:row r="19">
      <x:c r="A19" s="15" t="str">
        <x:v>AUTH-011</x:v>
      </x:c>
      <x:c r="B19" s="15" t="str">
        <x:v>Accounts &amp; Authentication</x:v>
      </x:c>
      <x:c r="C19" s="15" t="str">
        <x:v>Particular account</x:v>
      </x:c>
      <x:c r="D19" s="15" t="str">
        <x:v>Forgot-password request is safe for unknown email</x:v>
      </x:c>
      <x:c r="E19" s="15" t="str">
        <x:v>Unknown email.</x:v>
      </x:c>
      <x:c r="F19" s="15" t="str">
        <x:v>Submit forgot-password request.</x:v>
      </x:c>
      <x:c r="G19" s="15" t="str">
        <x:v>Response does not leak unsafe directory data and no account is created.</x:v>
      </x:c>
      <x:c r="H19" s="15" t="str">
        <x:v>Anonymous</x:v>
      </x:c>
      <x:c r="I19" s="15" t="str">
        <x:v>API</x:v>
      </x:c>
      <x:c r="J19" s="15" t="str">
        <x:v>Automated</x:v>
      </x:c>
      <x:c r="K19" s="15" t="str">
        <x:v>P1</x:v>
      </x:c>
      <x:c r="L19" s="15" t="str">
        <x:v>Blocking</x:v>
      </x:c>
      <x:c r="M19" s="15" t="str">
        <x:v>L27-L57</x:v>
      </x:c>
      <x:c r="N19" s="15" t="str">
        <x:v>MODIFY</x:v>
      </x:c>
      <x:c r="O19" s="15" t="str">
        <x:v>Not Run</x:v>
      </x:c>
      <x:c r="P19" s="15" t="str"/>
    </x:row>
    <x:row r="20">
      <x:c r="A20" s="15" t="str">
        <x:v>AUTH-012</x:v>
      </x:c>
      <x:c r="B20" s="15" t="str">
        <x:v>Accounts &amp; Authentication</x:v>
      </x:c>
      <x:c r="C20" s="15" t="str">
        <x:v>Particular account</x:v>
      </x:c>
      <x:c r="D20" s="15" t="str">
        <x:v>Valid password-reset link changes password</x:v>
      </x:c>
      <x:c r="E20" s="15" t="str">
        <x:v>Recovery link available.</x:v>
      </x:c>
      <x:c r="F20" s="15" t="str">
        <x:v>Open recovery link, set new password, sign in.</x:v>
      </x:c>
      <x:c r="G20" s="15" t="str">
        <x:v>New password works; old password no longer works.</x:v>
      </x:c>
      <x:c r="H20" s="15" t="str">
        <x:v>Particular</x:v>
      </x:c>
      <x:c r="I20" s="15" t="str">
        <x:v>E2E</x:v>
      </x:c>
      <x:c r="J20" s="15" t="str">
        <x:v>Both</x:v>
      </x:c>
      <x:c r="K20" s="15" t="str">
        <x:v>P0</x:v>
      </x:c>
      <x:c r="L20" s="15" t="str">
        <x:v>Blocking</x:v>
      </x:c>
      <x:c r="M20" s="15" t="str">
        <x:v>L27-L57</x:v>
      </x:c>
      <x:c r="N20" s="15" t="str">
        <x:v>MODIFY</x:v>
      </x:c>
      <x:c r="O20" s="15" t="str">
        <x:v>Not Run</x:v>
      </x:c>
      <x:c r="P20" s="15" t="str"/>
    </x:row>
    <x:row r="21">
      <x:c r="A21" s="15" t="str">
        <x:v>AUTH-013</x:v>
      </x:c>
      <x:c r="B21" s="15" t="str">
        <x:v>Accounts &amp; Authentication</x:v>
      </x:c>
      <x:c r="C21" s="15" t="str">
        <x:v>Particular account</x:v>
      </x:c>
      <x:c r="D21" s="15" t="str">
        <x:v>Expired password-reset link fails safely</x:v>
      </x:c>
      <x:c r="E21" s="15" t="str">
        <x:v>Expired recovery link.</x:v>
      </x:c>
      <x:c r="F21" s="15" t="str">
        <x:v>Attempt reset.</x:v>
      </x:c>
      <x:c r="G21" s="15" t="str">
        <x:v>Password unchanged and recoverable error shown.</x:v>
      </x:c>
      <x:c r="H21" s="15" t="str">
        <x:v>Particular</x:v>
      </x:c>
      <x:c r="I21" s="15" t="str">
        <x:v>E2E</x:v>
      </x:c>
      <x:c r="J21" s="15" t="str">
        <x:v>Automated</x:v>
      </x:c>
      <x:c r="K21" s="15" t="str">
        <x:v>P1</x:v>
      </x:c>
      <x:c r="L21" s="15" t="str">
        <x:v>Blocking</x:v>
      </x:c>
      <x:c r="M21" s="15" t="str">
        <x:v>L27-L57</x:v>
      </x:c>
      <x:c r="N21" s="15" t="str">
        <x:v>MODIFY</x:v>
      </x:c>
      <x:c r="O21" s="15" t="str">
        <x:v>Not Run</x:v>
      </x:c>
      <x:c r="P21" s="15" t="str"/>
    </x:row>
    <x:row r="22">
      <x:c r="A22" s="15" t="str">
        <x:v>AUTH-014</x:v>
      </x:c>
      <x:c r="B22" s="15" t="str">
        <x:v>Accounts &amp; Authentication</x:v>
      </x:c>
      <x:c r="C22" s="15" t="str">
        <x:v>Particular account</x:v>
      </x:c>
      <x:c r="D22" s="15" t="str">
        <x:v>Authenticated user can change password</x:v>
      </x:c>
      <x:c r="E22" s="15" t="str">
        <x:v>Logged-in account.</x:v>
      </x:c>
      <x:c r="F22" s="15" t="str">
        <x:v>Use account password-change flow.</x:v>
      </x:c>
      <x:c r="G22" s="15" t="str">
        <x:v>Password changes and future login uses new password.</x:v>
      </x:c>
      <x:c r="H22" s="15" t="str">
        <x:v>Particular</x:v>
      </x:c>
      <x:c r="I22" s="15" t="str">
        <x:v>E2E</x:v>
      </x:c>
      <x:c r="J22" s="15" t="str">
        <x:v>Automated</x:v>
      </x:c>
      <x:c r="K22" s="15" t="str">
        <x:v>P0</x:v>
      </x:c>
      <x:c r="L22" s="15" t="str">
        <x:v>Blocking</x:v>
      </x:c>
      <x:c r="M22" s="15" t="str">
        <x:v>L27-L57</x:v>
      </x:c>
      <x:c r="N22" s="15" t="str">
        <x:v>MODIFY</x:v>
      </x:c>
      <x:c r="O22" s="15" t="str">
        <x:v>Not Run</x:v>
      </x:c>
      <x:c r="P22" s="15" t="str"/>
    </x:row>
    <x:row r="23">
      <x:c r="A23" s="15" t="str">
        <x:v>AUTH-015</x:v>
      </x:c>
      <x:c r="B23" s="15" t="str">
        <x:v>Accounts &amp; Authentication</x:v>
      </x:c>
      <x:c r="C23" s="15" t="str">
        <x:v>Particular account</x:v>
      </x:c>
      <x:c r="D23" s="15" t="str">
        <x:v>Profile editing updates allowed fields</x:v>
      </x:c>
      <x:c r="E23" s="15" t="str">
        <x:v>Logged-in Particular.</x:v>
      </x:c>
      <x:c r="F23" s="15" t="str">
        <x:v>Change name, WhatsApp, city and region.</x:v>
      </x:c>
      <x:c r="G23" s="15" t="str">
        <x:v>Profile persists new values.</x:v>
      </x:c>
      <x:c r="H23" s="15" t="str">
        <x:v>Particular</x:v>
      </x:c>
      <x:c r="I23" s="15" t="str">
        <x:v>E2E</x:v>
      </x:c>
      <x:c r="J23" s="15" t="str">
        <x:v>Automated</x:v>
      </x:c>
      <x:c r="K23" s="15" t="str">
        <x:v>P0</x:v>
      </x:c>
      <x:c r="L23" s="15" t="str">
        <x:v>Blocking</x:v>
      </x:c>
      <x:c r="M23" s="15" t="str">
        <x:v>L27-L57</x:v>
      </x:c>
      <x:c r="N23" s="15" t="str">
        <x:v>MODIFY</x:v>
      </x:c>
      <x:c r="O23" s="15" t="str">
        <x:v>Not Run</x:v>
      </x:c>
      <x:c r="P23" s="15" t="str"/>
    </x:row>
    <x:row r="24">
      <x:c r="A24" s="15" t="str">
        <x:v>AUTH-016</x:v>
      </x:c>
      <x:c r="B24" s="15" t="str">
        <x:v>Accounts &amp; Authentication</x:v>
      </x:c>
      <x:c r="C24" s="15" t="str">
        <x:v>Particular account</x:v>
      </x:c>
      <x:c r="D24" s="15" t="str">
        <x:v>Particular account supports buyer and seller features</x:v>
      </x:c>
      <x:c r="E24" s="15" t="str">
        <x:v>Logged-in Particular.</x:v>
      </x:c>
      <x:c r="F24" s="15" t="str">
        <x:v>Access favorites/search-alert area and seller publication area.</x:v>
      </x:c>
      <x:c r="G24" s="15" t="str">
        <x:v>Same account can buy-side and sell-side without second account.</x:v>
      </x:c>
      <x:c r="H24" s="15" t="str">
        <x:v>Particular</x:v>
      </x:c>
      <x:c r="I24" s="15" t="str">
        <x:v>E2E</x:v>
      </x:c>
      <x:c r="J24" s="15" t="str">
        <x:v>Automated</x:v>
      </x:c>
      <x:c r="K24" s="15" t="str">
        <x:v>P0</x:v>
      </x:c>
      <x:c r="L24" s="15" t="str">
        <x:v>Blocking</x:v>
      </x:c>
      <x:c r="M24" s="15" t="str">
        <x:v>L27-L57</x:v>
      </x:c>
      <x:c r="N24" s="15" t="str">
        <x:v>MODIFY</x:v>
      </x:c>
      <x:c r="O24" s="15" t="str">
        <x:v>Not Run</x:v>
      </x:c>
      <x:c r="P24" s="15" t="str"/>
    </x:row>
    <x:row r="25">
      <x:c r="A25" s="15" t="str">
        <x:v>AUTH-017</x:v>
      </x:c>
      <x:c r="B25" s="15" t="str">
        <x:v>Accounts &amp; Authentication</x:v>
      </x:c>
      <x:c r="C25" s="15" t="str">
        <x:v>Particular account</x:v>
      </x:c>
      <x:c r="D25" s="15" t="str">
        <x:v>Store-owner route does not silently convert a Particular account</x:v>
      </x:c>
      <x:c r="E25" s="15" t="str">
        <x:v>Logged-in Particular.</x:v>
      </x:c>
      <x:c r="F25" s="15" t="str">
        <x:v>Attempt store-owner-only setup route.</x:v>
      </x:c>
      <x:c r="G25" s="15" t="str">
        <x:v>Account type is not silently changed; safe recovery/denial shown.</x:v>
      </x:c>
      <x:c r="H25" s="15" t="str">
        <x:v>Particular</x:v>
      </x:c>
      <x:c r="I25" s="15" t="str">
        <x:v>E2E</x:v>
      </x:c>
      <x:c r="J25" s="15" t="str">
        <x:v>Automated</x:v>
      </x:c>
      <x:c r="K25" s="15" t="str">
        <x:v>P0</x:v>
      </x:c>
      <x:c r="L25" s="15" t="str">
        <x:v>Blocking</x:v>
      </x:c>
      <x:c r="M25" s="15" t="str">
        <x:v>L27-L57</x:v>
      </x:c>
      <x:c r="N25" s="15" t="str">
        <x:v>MODIFY</x:v>
      </x:c>
      <x:c r="O25" s="15" t="str">
        <x:v>Not Run</x:v>
      </x:c>
      <x:c r="P25" s="15" t="str"/>
    </x:row>
    <x:row r="26">
      <x:c r="A26" s="15" t="str">
        <x:v>AUTH-018</x:v>
      </x:c>
      <x:c r="B26" s="15" t="str">
        <x:v>Accounts &amp; Authentication</x:v>
      </x:c>
      <x:c r="C26" s="15" t="str">
        <x:v>Particular account</x:v>
      </x:c>
      <x:c r="D26" s="15" t="str">
        <x:v>Store-owner account remains separate from Particular</x:v>
      </x:c>
      <x:c r="E26" s="15" t="str">
        <x:v>Store-owner account exists.</x:v>
      </x:c>
      <x:c r="F26" s="15" t="str">
        <x:v>Inspect account role and Particular seller routes.</x:v>
      </x:c>
      <x:c r="G26" s="15" t="str">
        <x:v>Store-owner identity is not treated as a Particular account.</x:v>
      </x:c>
      <x:c r="H26" s="15" t="str">
        <x:v>Store Owner</x:v>
      </x:c>
      <x:c r="I26" s="15" t="str">
        <x:v>E2E</x:v>
      </x:c>
      <x:c r="J26" s="15" t="str">
        <x:v>Automated</x:v>
      </x:c>
      <x:c r="K26" s="15" t="str">
        <x:v>P0</x:v>
      </x:c>
      <x:c r="L26" s="15" t="str">
        <x:v>Blocking</x:v>
      </x:c>
      <x:c r="M26" s="15" t="str">
        <x:v>L27-L57</x:v>
      </x:c>
      <x:c r="N26" s="15" t="str">
        <x:v>MODIFY</x:v>
      </x:c>
      <x:c r="O26" s="15" t="str">
        <x:v>Not Run</x:v>
      </x:c>
      <x:c r="P26" s="15" t="str"/>
    </x:row>
    <x:row r="27">
      <x:c r="A27" s="15" t="str">
        <x:v>AUTH-019</x:v>
      </x:c>
      <x:c r="B27" s="15" t="str">
        <x:v>Accounts &amp; Authentication</x:v>
      </x:c>
      <x:c r="C27" s="15" t="str">
        <x:v>Particular account</x:v>
      </x:c>
      <x:c r="D27" s="15" t="str">
        <x:v>Protected account route redirects unauthenticated user preserving return path</x:v>
      </x:c>
      <x:c r="E27" s="15" t="str">
        <x:v>No session.</x:v>
      </x:c>
      <x:c r="F27" s="15" t="str">
        <x:v>Open protected account route.</x:v>
      </x:c>
      <x:c r="G27" s="15" t="str">
        <x:v>Redirects to login and preserves safe return destination.</x:v>
      </x:c>
      <x:c r="H27" s="15" t="str">
        <x:v>Anonymous</x:v>
      </x:c>
      <x:c r="I27" s="15" t="str">
        <x:v>E2E</x:v>
      </x:c>
      <x:c r="J27" s="15" t="str">
        <x:v>Automated</x:v>
      </x:c>
      <x:c r="K27" s="15" t="str">
        <x:v>P1</x:v>
      </x:c>
      <x:c r="L27" s="15" t="str">
        <x:v>Blocking</x:v>
      </x:c>
      <x:c r="M27" s="15" t="str">
        <x:v>L27-L57</x:v>
      </x:c>
      <x:c r="N27" s="15" t="str">
        <x:v>MODIFY</x:v>
      </x:c>
      <x:c r="O27" s="15" t="str">
        <x:v>Not Run</x:v>
      </x:c>
      <x:c r="P27" s="15" t="str"/>
    </x:row>
    <x:row r="28">
      <x:c r="A28" s="15" t="str">
        <x:v>AUTH-020</x:v>
      </x:c>
      <x:c r="B28" s="15" t="str">
        <x:v>Accounts &amp; Authentication</x:v>
      </x:c>
      <x:c r="C28" s="15" t="str">
        <x:v>Particular account</x:v>
      </x:c>
      <x:c r="D28" s="15" t="str">
        <x:v>Unsafe external `next` redirect is rejected</x:v>
      </x:c>
      <x:c r="E28" s="15" t="str">
        <x:v>Crafted external next URL.</x:v>
      </x:c>
      <x:c r="F28" s="15" t="str">
        <x:v>Invoke auth callback/login return flow.</x:v>
      </x:c>
      <x:c r="G28" s="15" t="str">
        <x:v>Redirect remains same-site.</x:v>
      </x:c>
      <x:c r="H28" s="15" t="str">
        <x:v>Anonymous</x:v>
      </x:c>
      <x:c r="I28" s="15" t="str">
        <x:v>API</x:v>
      </x:c>
      <x:c r="J28" s="15" t="str">
        <x:v>Automated</x:v>
      </x:c>
      <x:c r="K28" s="15" t="str">
        <x:v>P0</x:v>
      </x:c>
      <x:c r="L28" s="15" t="str">
        <x:v>Blocking</x:v>
      </x:c>
      <x:c r="M28" s="15" t="str">
        <x:v>L27-L57</x:v>
      </x:c>
      <x:c r="N28" s="15" t="str">
        <x:v>MODIFY</x:v>
      </x:c>
      <x:c r="O28" s="15" t="str">
        <x:v>Not Run</x:v>
      </x:c>
      <x:c r="P28" s="15" t="str"/>
    </x:row>
    <x:row r="29">
      <x:c r="A29" s="15" t="str">
        <x:v>AUTH-021</x:v>
      </x:c>
      <x:c r="B29" s="15" t="str">
        <x:v>Accounts &amp; Authentication</x:v>
      </x:c>
      <x:c r="C29" s="15" t="str">
        <x:v>Particular account</x:v>
      </x:c>
      <x:c r="D29" s="15" t="str">
        <x:v>Account email-change workflow is absent from V1 UI</x:v>
      </x:c>
      <x:c r="E29" s="15" t="str">
        <x:v>Authenticated account.</x:v>
      </x:c>
      <x:c r="F29" s="15" t="str">
        <x:v>Inspect account settings.</x:v>
      </x:c>
      <x:c r="G29" s="15" t="str">
        <x:v>No unsupported email-change workflow is presented as active.</x:v>
      </x:c>
      <x:c r="H29" s="15" t="str">
        <x:v>Particular</x:v>
      </x:c>
      <x:c r="I29" s="15" t="str">
        <x:v>Manual</x:v>
      </x:c>
      <x:c r="J29" s="15" t="str">
        <x:v>Manual</x:v>
      </x:c>
      <x:c r="K29" s="15" t="str">
        <x:v>P2</x:v>
      </x:c>
      <x:c r="L29" s="15" t="str">
        <x:v>Non-blocking</x:v>
      </x:c>
      <x:c r="M29" s="15" t="str">
        <x:v>L27-L57</x:v>
      </x:c>
      <x:c r="N29" s="15" t="str">
        <x:v>MODIFY</x:v>
      </x:c>
      <x:c r="O29" s="15" t="str">
        <x:v>Not Run</x:v>
      </x:c>
      <x:c r="P29" s="15" t="str"/>
    </x:row>
    <x:row r="30">
      <x:c r="A30" s="15" t="str">
        <x:v>AUTH-022</x:v>
      </x:c>
      <x:c r="B30" s="15" t="str">
        <x:v>Accounts &amp; Authentication</x:v>
      </x:c>
      <x:c r="C30" s="15" t="str">
        <x:v>Particular account</x:v>
      </x:c>
      <x:c r="D30" s="15" t="str">
        <x:v>Account deletion workflow is absent from V1 UI</x:v>
      </x:c>
      <x:c r="E30" s="15" t="str">
        <x:v>Authenticated account.</x:v>
      </x:c>
      <x:c r="F30" s="15" t="str">
        <x:v>Inspect account settings.</x:v>
      </x:c>
      <x:c r="G30" s="15" t="str">
        <x:v>No unsupported self-delete workflow is presented as active.</x:v>
      </x:c>
      <x:c r="H30" s="15" t="str">
        <x:v>Particular</x:v>
      </x:c>
      <x:c r="I30" s="15" t="str">
        <x:v>Manual</x:v>
      </x:c>
      <x:c r="J30" s="15" t="str">
        <x:v>Manual</x:v>
      </x:c>
      <x:c r="K30" s="15" t="str">
        <x:v>P2</x:v>
      </x:c>
      <x:c r="L30" s="15" t="str">
        <x:v>Non-blocking</x:v>
      </x:c>
      <x:c r="M30" s="15" t="str">
        <x:v>L27-L57</x:v>
      </x:c>
      <x:c r="N30" s="15" t="str">
        <x:v>MODIFY</x:v>
      </x:c>
      <x:c r="O30" s="15" t="str">
        <x:v>Not Run</x:v>
      </x:c>
      <x:c r="P30" s="15" t="str"/>
    </x:row>
    <x:row r="31">
      <x:c r="A31" s="15" t="str">
        <x:v>LIST-001</x:v>
      </x:c>
      <x:c r="B31" s="15" t="str">
        <x:v>Listings</x:v>
      </x:c>
      <x:c r="C31" s="15" t="str">
        <x:v>Creation &amp; ownership</x:v>
      </x:c>
      <x:c r="D31" s="15" t="str">
        <x:v>Unauthenticated user cannot publish</x:v>
      </x:c>
      <x:c r="E31" s="15" t="str">
        <x:v>No session.</x:v>
      </x:c>
      <x:c r="F31" s="15" t="str">
        <x:v>Open `/vender`.</x:v>
      </x:c>
      <x:c r="G31" s="15" t="str">
        <x:v>User is redirected to login; return path is preserved.</x:v>
      </x:c>
      <x:c r="H31" s="15" t="str">
        <x:v>Anonymous</x:v>
      </x:c>
      <x:c r="I31" s="15" t="str">
        <x:v>E2E</x:v>
      </x:c>
      <x:c r="J31" s="15" t="str">
        <x:v>Automated</x:v>
      </x:c>
      <x:c r="K31" s="15" t="str">
        <x:v>P0</x:v>
      </x:c>
      <x:c r="L31" s="15" t="str">
        <x:v>Blocking</x:v>
      </x:c>
      <x:c r="M31" s="15" t="str">
        <x:v>L59-L79,L99-L115</x:v>
      </x:c>
      <x:c r="N31" s="15" t="str">
        <x:v>MODIFY</x:v>
      </x:c>
      <x:c r="O31" s="15" t="str">
        <x:v>Not Run</x:v>
      </x:c>
      <x:c r="P31" s="15" t="str"/>
    </x:row>
    <x:row r="32">
      <x:c r="A32" s="15" t="str">
        <x:v>LIST-002</x:v>
      </x:c>
      <x:c r="B32" s="15" t="str">
        <x:v>Listings</x:v>
      </x:c>
      <x:c r="C32" s="15" t="str">
        <x:v>Creation &amp; ownership</x:v>
      </x:c>
      <x:c r="D32" s="15" t="str">
        <x:v>Authenticated Particular can open publication form</x:v>
      </x:c>
      <x:c r="E32" s="15" t="str">
        <x:v>Logged-in Particular.</x:v>
      </x:c>
      <x:c r="F32" s="15" t="str">
        <x:v>Open `/vender`.</x:v>
      </x:c>
      <x:c r="G32" s="15" t="str">
        <x:v>Publication form is available.</x:v>
      </x:c>
      <x:c r="H32" s="15" t="str">
        <x:v>Particular</x:v>
      </x:c>
      <x:c r="I32" s="15" t="str">
        <x:v>E2E</x:v>
      </x:c>
      <x:c r="J32" s="15" t="str">
        <x:v>Automated</x:v>
      </x:c>
      <x:c r="K32" s="15" t="str">
        <x:v>P0</x:v>
      </x:c>
      <x:c r="L32" s="15" t="str">
        <x:v>Blocking</x:v>
      </x:c>
      <x:c r="M32" s="15" t="str">
        <x:v>L59-L79,L99-L115</x:v>
      </x:c>
      <x:c r="N32" s="15" t="str">
        <x:v>MODIFY</x:v>
      </x:c>
      <x:c r="O32" s="15" t="str">
        <x:v>Not Run</x:v>
      </x:c>
      <x:c r="P32" s="15" t="str"/>
    </x:row>
    <x:row r="33">
      <x:c r="A33" s="15" t="str">
        <x:v>LIST-003</x:v>
      </x:c>
      <x:c r="B33" s="15" t="str">
        <x:v>Listings</x:v>
      </x:c>
      <x:c r="C33" s="15" t="str">
        <x:v>Creation &amp; ownership</x:v>
      </x:c>
      <x:c r="D33" s="15" t="str">
        <x:v>Valid Particular submission creates owned pending listing</x:v>
      </x:c>
      <x:c r="E33" s="15" t="str">
        <x:v>Logged-in Particular, valid data/photos.</x:v>
      </x:c>
      <x:c r="F33" s="15" t="str">
        <x:v>Submit listing.</x:v>
      </x:c>
      <x:c r="G33" s="15" t="str">
        <x:v>Listing is created with owner_user_id=current user, seller_type individual, store_id null, status pending.</x:v>
      </x:c>
      <x:c r="H33" s="15" t="str">
        <x:v>Particular</x:v>
      </x:c>
      <x:c r="I33" s="15" t="str">
        <x:v>API/DB</x:v>
      </x:c>
      <x:c r="J33" s="15" t="str">
        <x:v>Automated</x:v>
      </x:c>
      <x:c r="K33" s="15" t="str">
        <x:v>P0</x:v>
      </x:c>
      <x:c r="L33" s="15" t="str">
        <x:v>Blocking</x:v>
      </x:c>
      <x:c r="M33" s="15" t="str">
        <x:v>L59-L79,L99-L115</x:v>
      </x:c>
      <x:c r="N33" s="15" t="str">
        <x:v>MODIFY</x:v>
      </x:c>
      <x:c r="O33" s="15" t="str">
        <x:v>Not Run</x:v>
      </x:c>
      <x:c r="P33" s="15" t="str"/>
    </x:row>
    <x:row r="34">
      <x:c r="A34" s="15" t="str">
        <x:v>LIST-004</x:v>
      </x:c>
      <x:c r="B34" s="15" t="str">
        <x:v>Listings</x:v>
      </x:c>
      <x:c r="C34" s="15" t="str">
        <x:v>Creation &amp; ownership</x:v>
      </x:c>
      <x:c r="D34" s="15" t="str">
        <x:v>Particular cannot directly create approved listing</x:v>
      </x:c>
      <x:c r="E34" s="15" t="str">
        <x:v>Logged-in Particular.</x:v>
      </x:c>
      <x:c r="F34" s="15" t="str">
        <x:v>Tamper request/status during creation.</x:v>
      </x:c>
      <x:c r="G34" s="15" t="str">
        <x:v>Protected status cannot be set to approved by seller.</x:v>
      </x:c>
      <x:c r="H34" s="15" t="str">
        <x:v>Particular</x:v>
      </x:c>
      <x:c r="I34" s="15" t="str">
        <x:v>DB/RLS</x:v>
      </x:c>
      <x:c r="J34" s="15" t="str">
        <x:v>Automated</x:v>
      </x:c>
      <x:c r="K34" s="15" t="str">
        <x:v>P0</x:v>
      </x:c>
      <x:c r="L34" s="15" t="str">
        <x:v>Blocking</x:v>
      </x:c>
      <x:c r="M34" s="15" t="str">
        <x:v>L59-L79,L99-L115</x:v>
      </x:c>
      <x:c r="N34" s="15" t="str">
        <x:v>MODIFY</x:v>
      </x:c>
      <x:c r="O34" s="15" t="str">
        <x:v>Not Run</x:v>
      </x:c>
      <x:c r="P34" s="15" t="str"/>
    </x:row>
    <x:row r="35">
      <x:c r="A35" s="15" t="str">
        <x:v>LIST-005</x:v>
      </x:c>
      <x:c r="B35" s="15" t="str">
        <x:v>Listings</x:v>
      </x:c>
      <x:c r="C35" s="15" t="str">
        <x:v>Creation &amp; ownership</x:v>
      </x:c>
      <x:c r="D35" s="15" t="str">
        <x:v>Required title validation</x:v>
      </x:c>
      <x:c r="E35" s="15" t="str">
        <x:v>Logged-in Particular.</x:v>
      </x:c>
      <x:c r="F35" s="15" t="str">
        <x:v>Submit without title.</x:v>
      </x:c>
      <x:c r="G35" s="15" t="str">
        <x:v>Submission blocked with clear validation; no partial listing finalized.</x:v>
      </x:c>
      <x:c r="H35" s="15" t="str">
        <x:v>Particular</x:v>
      </x:c>
      <x:c r="I35" s="15" t="str">
        <x:v>E2E</x:v>
      </x:c>
      <x:c r="J35" s="15" t="str">
        <x:v>Automated</x:v>
      </x:c>
      <x:c r="K35" s="15" t="str">
        <x:v>P1</x:v>
      </x:c>
      <x:c r="L35" s="15" t="str">
        <x:v>Blocking</x:v>
      </x:c>
      <x:c r="M35" s="15" t="str">
        <x:v>L59-L79,L99-L115</x:v>
      </x:c>
      <x:c r="N35" s="15" t="str">
        <x:v>MODIFY</x:v>
      </x:c>
      <x:c r="O35" s="15" t="str">
        <x:v>Not Run</x:v>
      </x:c>
      <x:c r="P35" s="15" t="str"/>
    </x:row>
    <x:row r="36">
      <x:c r="A36" s="15" t="str">
        <x:v>LIST-006</x:v>
      </x:c>
      <x:c r="B36" s="15" t="str">
        <x:v>Listings</x:v>
      </x:c>
      <x:c r="C36" s="15" t="str">
        <x:v>Creation &amp; ownership</x:v>
      </x:c>
      <x:c r="D36" s="15" t="str">
        <x:v>Required category validation</x:v>
      </x:c>
      <x:c r="E36" s="15" t="str">
        <x:v>Logged-in Particular.</x:v>
      </x:c>
      <x:c r="F36" s="15" t="str">
        <x:v>Submit without category.</x:v>
      </x:c>
      <x:c r="G36" s="15" t="str">
        <x:v>Submission blocked; no invalid record finalized.</x:v>
      </x:c>
      <x:c r="H36" s="15" t="str">
        <x:v>Particular</x:v>
      </x:c>
      <x:c r="I36" s="15" t="str">
        <x:v>E2E</x:v>
      </x:c>
      <x:c r="J36" s="15" t="str">
        <x:v>Automated</x:v>
      </x:c>
      <x:c r="K36" s="15" t="str">
        <x:v>P1</x:v>
      </x:c>
      <x:c r="L36" s="15" t="str">
        <x:v>Blocking</x:v>
      </x:c>
      <x:c r="M36" s="15" t="str">
        <x:v>L59-L79,L99-L115</x:v>
      </x:c>
      <x:c r="N36" s="15" t="str">
        <x:v>MODIFY</x:v>
      </x:c>
      <x:c r="O36" s="15" t="str">
        <x:v>Not Run</x:v>
      </x:c>
      <x:c r="P36" s="15" t="str"/>
    </x:row>
    <x:row r="37">
      <x:c r="A37" s="15" t="str">
        <x:v>LIST-007</x:v>
      </x:c>
      <x:c r="B37" s="15" t="str">
        <x:v>Listings</x:v>
      </x:c>
      <x:c r="C37" s="15" t="str">
        <x:v>Creation &amp; ownership</x:v>
      </x:c>
      <x:c r="D37" s="15" t="str">
        <x:v>Instrument type required where category has meaningful subtypes</x:v>
      </x:c>
      <x:c r="E37" s="15" t="str">
        <x:v>Category with configured instrument types.</x:v>
      </x:c>
      <x:c r="F37" s="15" t="str">
        <x:v>Omit instrument type and submit.</x:v>
      </x:c>
      <x:c r="G37" s="15" t="str">
        <x:v>Submission is rejected with user-facing validation.</x:v>
      </x:c>
      <x:c r="H37" s="15" t="str">
        <x:v>Particular</x:v>
      </x:c>
      <x:c r="I37" s="15" t="str">
        <x:v>E2E</x:v>
      </x:c>
      <x:c r="J37" s="15" t="str">
        <x:v>Automated</x:v>
      </x:c>
      <x:c r="K37" s="15" t="str">
        <x:v>P0</x:v>
      </x:c>
      <x:c r="L37" s="15" t="str">
        <x:v>Blocking</x:v>
      </x:c>
      <x:c r="M37" s="15" t="str">
        <x:v>L59-L79,L99-L115</x:v>
      </x:c>
      <x:c r="N37" s="15" t="str">
        <x:v>MODIFY</x:v>
      </x:c>
      <x:c r="O37" s="15" t="str">
        <x:v>Not Run</x:v>
      </x:c>
      <x:c r="P37" s="15" t="str"/>
    </x:row>
    <x:row r="38">
      <x:c r="A38" s="15" t="str">
        <x:v>LIST-008</x:v>
      </x:c>
      <x:c r="B38" s="15" t="str">
        <x:v>Listings</x:v>
      </x:c>
      <x:c r="C38" s="15" t="str">
        <x:v>Creation &amp; ownership</x:v>
      </x:c>
      <x:c r="D38" s="15" t="str">
        <x:v>Instrument type not spuriously required where category has no subtype rule</x:v>
      </x:c>
      <x:c r="E38" s="15" t="str">
        <x:v>Category without meaningful subtype.</x:v>
      </x:c>
      <x:c r="F38" s="15" t="str">
        <x:v>Submit valid listing without instrument type.</x:v>
      </x:c>
      <x:c r="G38" s="15" t="str">
        <x:v>Submission succeeds if all applicable requirements pass.</x:v>
      </x:c>
      <x:c r="H38" s="15" t="str">
        <x:v>Particular</x:v>
      </x:c>
      <x:c r="I38" s="15" t="str">
        <x:v>E2E</x:v>
      </x:c>
      <x:c r="J38" s="15" t="str">
        <x:v>Automated</x:v>
      </x:c>
      <x:c r="K38" s="15" t="str">
        <x:v>P1</x:v>
      </x:c>
      <x:c r="L38" s="15" t="str">
        <x:v>Blocking</x:v>
      </x:c>
      <x:c r="M38" s="15" t="str">
        <x:v>L59-L79,L99-L115</x:v>
      </x:c>
      <x:c r="N38" s="15" t="str">
        <x:v>MODIFY</x:v>
      </x:c>
      <x:c r="O38" s="15" t="str">
        <x:v>Not Run</x:v>
      </x:c>
      <x:c r="P38" s="15" t="str"/>
    </x:row>
    <x:row r="39">
      <x:c r="A39" s="15" t="str">
        <x:v>LIST-009</x:v>
      </x:c>
      <x:c r="B39" s="15" t="str">
        <x:v>Listings</x:v>
      </x:c>
      <x:c r="C39" s="15" t="str">
        <x:v>Creation &amp; ownership</x:v>
      </x:c>
      <x:c r="D39" s="15" t="str">
        <x:v>Dynamic attributes save correctly</x:v>
      </x:c>
      <x:c r="E39" s="15" t="str">
        <x:v>Category with configured attributes.</x:v>
      </x:c>
      <x:c r="F39" s="15" t="str">
        <x:v>Set several supported attributes and submit.</x:v>
      </x:c>
      <x:c r="G39" s="15" t="str">
        <x:v>Attributes persist and render through user-facing labels.</x:v>
      </x:c>
      <x:c r="H39" s="15" t="str">
        <x:v>Particular</x:v>
      </x:c>
      <x:c r="I39" s="15" t="str">
        <x:v>E2E</x:v>
      </x:c>
      <x:c r="J39" s="15" t="str">
        <x:v>Automated</x:v>
      </x:c>
      <x:c r="K39" s="15" t="str">
        <x:v>P1</x:v>
      </x:c>
      <x:c r="L39" s="15" t="str">
        <x:v>Blocking</x:v>
      </x:c>
      <x:c r="M39" s="15" t="str">
        <x:v>L59-L79,L99-L115</x:v>
      </x:c>
      <x:c r="N39" s="15" t="str">
        <x:v>MODIFY</x:v>
      </x:c>
      <x:c r="O39" s="15" t="str">
        <x:v>Not Run</x:v>
      </x:c>
      <x:c r="P39" s="15" t="str"/>
    </x:row>
    <x:row r="40">
      <x:c r="A40" s="15" t="str">
        <x:v>LIST-010</x:v>
      </x:c>
      <x:c r="B40" s="15" t="str">
        <x:v>Listings</x:v>
      </x:c>
      <x:c r="C40" s="15" t="str">
        <x:v>Creation &amp; ownership</x:v>
      </x:c>
      <x:c r="D40" s="15" t="str">
        <x:v>Optional dynamic attributes may be omitted</x:v>
      </x:c>
      <x:c r="E40" s="15" t="str">
        <x:v>Valid listing with no optional attributes.</x:v>
      </x:c>
      <x:c r="F40" s="15" t="str">
        <x:v>Submit.</x:v>
      </x:c>
      <x:c r="G40" s="15" t="str">
        <x:v>Listing can be submitted if no explicit required attribute is violated.</x:v>
      </x:c>
      <x:c r="H40" s="15" t="str">
        <x:v>Particular</x:v>
      </x:c>
      <x:c r="I40" s="15" t="str">
        <x:v>E2E</x:v>
      </x:c>
      <x:c r="J40" s="15" t="str">
        <x:v>Automated</x:v>
      </x:c>
      <x:c r="K40" s="15" t="str">
        <x:v>P1</x:v>
      </x:c>
      <x:c r="L40" s="15" t="str">
        <x:v>Blocking</x:v>
      </x:c>
      <x:c r="M40" s="15" t="str">
        <x:v>L59-L79,L99-L115</x:v>
      </x:c>
      <x:c r="N40" s="15" t="str">
        <x:v>MODIFY</x:v>
      </x:c>
      <x:c r="O40" s="15" t="str">
        <x:v>Not Run</x:v>
      </x:c>
      <x:c r="P40" s="15" t="str"/>
    </x:row>
    <x:row r="41">
      <x:c r="A41" s="15" t="str">
        <x:v>LIST-011</x:v>
      </x:c>
      <x:c r="B41" s="15" t="str">
        <x:v>Listings</x:v>
      </x:c>
      <x:c r="C41" s="15" t="str">
        <x:v>Creation &amp; ownership</x:v>
      </x:c>
      <x:c r="D41" s="15" t="str">
        <x:v>Raw JSON keys are not exposed in form/detail</x:v>
      </x:c>
      <x:c r="E41" s="15" t="str">
        <x:v>Listing with attributes.</x:v>
      </x:c>
      <x:c r="F41" s="15" t="str">
        <x:v>View form and detail.</x:v>
      </x:c>
      <x:c r="G41" s="15" t="str">
        <x:v>Human-readable labels/options are shown instead of raw JSON/snake_case.</x:v>
      </x:c>
      <x:c r="H41" s="15" t="str">
        <x:v>Particular</x:v>
      </x:c>
      <x:c r="I41" s="15" t="str">
        <x:v>Manual</x:v>
      </x:c>
      <x:c r="J41" s="15" t="str">
        <x:v>Both</x:v>
      </x:c>
      <x:c r="K41" s="15" t="str">
        <x:v>P1</x:v>
      </x:c>
      <x:c r="L41" s="15" t="str">
        <x:v>Blocking</x:v>
      </x:c>
      <x:c r="M41" s="15" t="str">
        <x:v>L59-L79,L99-L115</x:v>
      </x:c>
      <x:c r="N41" s="15" t="str">
        <x:v>MODIFY</x:v>
      </x:c>
      <x:c r="O41" s="15" t="str">
        <x:v>Not Run</x:v>
      </x:c>
      <x:c r="P41" s="15" t="str"/>
    </x:row>
    <x:row r="42">
      <x:c r="A42" s="15" t="str">
        <x:v>LIST-012</x:v>
      </x:c>
      <x:c r="B42" s="15" t="str">
        <x:v>Listings</x:v>
      </x:c>
      <x:c r="C42" s="15" t="str">
        <x:v>Creation &amp; ownership</x:v>
      </x:c>
      <x:c r="D42" s="15" t="str">
        <x:v>Marketplace rules acceptance is required</x:v>
      </x:c>
      <x:c r="E42" s="15" t="str">
        <x:v>Logged-in Particular.</x:v>
      </x:c>
      <x:c r="F42" s="15" t="str">
        <x:v>Submit without accepting rules.</x:v>
      </x:c>
      <x:c r="G42" s="15" t="str">
        <x:v>Submission rejected; acceptance timestamp not fabricated.</x:v>
      </x:c>
      <x:c r="H42" s="15" t="str">
        <x:v>Particular</x:v>
      </x:c>
      <x:c r="I42" s="15" t="str">
        <x:v>E2E</x:v>
      </x:c>
      <x:c r="J42" s="15" t="str">
        <x:v>Automated</x:v>
      </x:c>
      <x:c r="K42" s="15" t="str">
        <x:v>P0</x:v>
      </x:c>
      <x:c r="L42" s="15" t="str">
        <x:v>Blocking</x:v>
      </x:c>
      <x:c r="M42" s="15" t="str">
        <x:v>L59-L79,L99-L115</x:v>
      </x:c>
      <x:c r="N42" s="15" t="str">
        <x:v>MODIFY</x:v>
      </x:c>
      <x:c r="O42" s="15" t="str">
        <x:v>Not Run</x:v>
      </x:c>
      <x:c r="P42" s="15" t="str"/>
    </x:row>
    <x:row r="43">
      <x:c r="A43" s="15" t="str">
        <x:v>LIST-013</x:v>
      </x:c>
      <x:c r="B43" s="15" t="str">
        <x:v>Listings</x:v>
      </x:c>
      <x:c r="C43" s="15" t="str">
        <x:v>Creation &amp; ownership</x:v>
      </x:c>
      <x:c r="D43" s="15" t="str">
        <x:v>Price accepts valid positive value</x:v>
      </x:c>
      <x:c r="E43" s="15" t="str">
        <x:v>Logged-in Particular.</x:v>
      </x:c>
      <x:c r="F43" s="15" t="str">
        <x:v>Submit valid positive price.</x:v>
      </x:c>
      <x:c r="G43" s="15" t="str">
        <x:v>Price persists accurately in PEN.</x:v>
      </x:c>
      <x:c r="H43" s="15" t="str">
        <x:v>Particular</x:v>
      </x:c>
      <x:c r="I43" s="15" t="str">
        <x:v>E2E</x:v>
      </x:c>
      <x:c r="J43" s="15" t="str">
        <x:v>Automated</x:v>
      </x:c>
      <x:c r="K43" s="15" t="str">
        <x:v>P1</x:v>
      </x:c>
      <x:c r="L43" s="15" t="str">
        <x:v>Blocking</x:v>
      </x:c>
      <x:c r="M43" s="15" t="str">
        <x:v>L59-L79,L99-L115</x:v>
      </x:c>
      <x:c r="N43" s="15" t="str">
        <x:v>MODIFY</x:v>
      </x:c>
      <x:c r="O43" s="15" t="str">
        <x:v>Not Run</x:v>
      </x:c>
      <x:c r="P43" s="15" t="str"/>
    </x:row>
    <x:row r="44">
      <x:c r="A44" s="15" t="str">
        <x:v>LIST-014</x:v>
      </x:c>
      <x:c r="B44" s="15" t="str">
        <x:v>Listings</x:v>
      </x:c>
      <x:c r="C44" s="15" t="str">
        <x:v>Creation &amp; ownership</x:v>
      </x:c>
      <x:c r="D44" s="15" t="str">
        <x:v>Invalid negative price is rejected</x:v>
      </x:c>
      <x:c r="E44" s="15" t="str">
        <x:v>Logged-in Particular.</x:v>
      </x:c>
      <x:c r="F44" s="15" t="str">
        <x:v>Submit negative price.</x:v>
      </x:c>
      <x:c r="G44" s="15" t="str">
        <x:v>Validation/database constraint rejects it.</x:v>
      </x:c>
      <x:c r="H44" s="15" t="str">
        <x:v>Particular</x:v>
      </x:c>
      <x:c r="I44" s="15" t="str">
        <x:v>API/DB</x:v>
      </x:c>
      <x:c r="J44" s="15" t="str">
        <x:v>Automated</x:v>
      </x:c>
      <x:c r="K44" s="15" t="str">
        <x:v>P0</x:v>
      </x:c>
      <x:c r="L44" s="15" t="str">
        <x:v>Blocking</x:v>
      </x:c>
      <x:c r="M44" s="15" t="str">
        <x:v>L59-L79,L99-L115</x:v>
      </x:c>
      <x:c r="N44" s="15" t="str">
        <x:v>MODIFY</x:v>
      </x:c>
      <x:c r="O44" s="15" t="str">
        <x:v>Not Run</x:v>
      </x:c>
      <x:c r="P44" s="15" t="str"/>
    </x:row>
    <x:row r="45">
      <x:c r="A45" s="15" t="str">
        <x:v>LIST-015</x:v>
      </x:c>
      <x:c r="B45" s="15" t="str">
        <x:v>Listings</x:v>
      </x:c>
      <x:c r="C45" s="15" t="str">
        <x:v>Creation &amp; ownership</x:v>
      </x:c>
      <x:c r="D45" s="15" t="str">
        <x:v>Profile identity is used for owned listing display</x:v>
      </x:c>
      <x:c r="E45" s="15" t="str">
        <x:v>Owned approved listing; profile exists.</x:v>
      </x:c>
      <x:c r="F45" s="15" t="str">
        <x:v>Open listing detail.</x:v>
      </x:c>
      <x:c r="G45" s="15" t="str">
        <x:v>Seller identity/contact resolves from current profile where specified.</x:v>
      </x:c>
      <x:c r="H45" s="15" t="str">
        <x:v>Particular</x:v>
      </x:c>
      <x:c r="I45" s="15" t="str">
        <x:v>E2E</x:v>
      </x:c>
      <x:c r="J45" s="15" t="str">
        <x:v>Automated</x:v>
      </x:c>
      <x:c r="K45" s="15" t="str">
        <x:v>P0</x:v>
      </x:c>
      <x:c r="L45" s="15" t="str">
        <x:v>Blocking</x:v>
      </x:c>
      <x:c r="M45" s="15" t="str">
        <x:v>L59-L79,L99-L115</x:v>
      </x:c>
      <x:c r="N45" s="15" t="str">
        <x:v>MODIFY</x:v>
      </x:c>
      <x:c r="O45" s="15" t="str">
        <x:v>Not Run</x:v>
      </x:c>
      <x:c r="P45" s="15" t="str"/>
    </x:row>
    <x:row r="46">
      <x:c r="A46" s="15" t="str">
        <x:v>LIST-016</x:v>
      </x:c>
      <x:c r="B46" s="15" t="str">
        <x:v>Listings</x:v>
      </x:c>
      <x:c r="C46" s="15" t="str">
        <x:v>Creation &amp; ownership</x:v>
      </x:c>
      <x:c r="D46" s="15" t="str">
        <x:v>Profile name update propagates to owned listing display</x:v>
      </x:c>
      <x:c r="E46" s="15" t="str">
        <x:v>Owned listing exists.</x:v>
      </x:c>
      <x:c r="F46" s="15" t="str">
        <x:v>Change profile name; reload detail.</x:v>
      </x:c>
      <x:c r="G46" s="15" t="str">
        <x:v>Listing seller display reflects current profile name.</x:v>
      </x:c>
      <x:c r="H46" s="15" t="str">
        <x:v>Particular</x:v>
      </x:c>
      <x:c r="I46" s="15" t="str">
        <x:v>E2E</x:v>
      </x:c>
      <x:c r="J46" s="15" t="str">
        <x:v>Automated</x:v>
      </x:c>
      <x:c r="K46" s="15" t="str">
        <x:v>P1</x:v>
      </x:c>
      <x:c r="L46" s="15" t="str">
        <x:v>Blocking</x:v>
      </x:c>
      <x:c r="M46" s="15" t="str">
        <x:v>L59-L79,L99-L115</x:v>
      </x:c>
      <x:c r="N46" s="15" t="str">
        <x:v>MODIFY</x:v>
      </x:c>
      <x:c r="O46" s="15" t="str">
        <x:v>Not Run</x:v>
      </x:c>
      <x:c r="P46" s="15" t="str"/>
    </x:row>
    <x:row r="47">
      <x:c r="A47" s="15" t="str">
        <x:v>LIST-017</x:v>
      </x:c>
      <x:c r="B47" s="15" t="str">
        <x:v>Listings</x:v>
      </x:c>
      <x:c r="C47" s="15" t="str">
        <x:v>Creation &amp; ownership</x:v>
      </x:c>
      <x:c r="D47" s="15" t="str">
        <x:v>Profile WhatsApp update propagates to owned listing contact</x:v>
      </x:c>
      <x:c r="E47" s="15" t="str">
        <x:v>Owned listing exists.</x:v>
      </x:c>
      <x:c r="F47" s="15" t="str">
        <x:v>Change profile phone; invoke contact.</x:v>
      </x:c>
      <x:c r="G47" s="15" t="str">
        <x:v>Current profile WhatsApp is used.</x:v>
      </x:c>
      <x:c r="H47" s="15" t="str">
        <x:v>Particular</x:v>
      </x:c>
      <x:c r="I47" s="15" t="str">
        <x:v>E2E</x:v>
      </x:c>
      <x:c r="J47" s="15" t="str">
        <x:v>Automated</x:v>
      </x:c>
      <x:c r="K47" s="15" t="str">
        <x:v>P0</x:v>
      </x:c>
      <x:c r="L47" s="15" t="str">
        <x:v>Blocking</x:v>
      </x:c>
      <x:c r="M47" s="15" t="str">
        <x:v>L59-L79,L99-L115</x:v>
      </x:c>
      <x:c r="N47" s="15" t="str">
        <x:v>MODIFY</x:v>
      </x:c>
      <x:c r="O47" s="15" t="str">
        <x:v>Not Run</x:v>
      </x:c>
      <x:c r="P47" s="15" t="str"/>
    </x:row>
    <x:row r="48">
      <x:c r="A48" s="15" t="str">
        <x:v>LIST-018</x:v>
      </x:c>
      <x:c r="B48" s="15" t="str">
        <x:v>Listings</x:v>
      </x:c>
      <x:c r="C48" s="15" t="str">
        <x:v>Creation &amp; ownership</x:v>
      </x:c>
      <x:c r="D48" s="15" t="str">
        <x:v>Legacy listing without owner keeps historical contact fallback</x:v>
      </x:c>
      <x:c r="E48" s="15" t="str">
        <x:v>Legacy owner_user_id null listing exists.</x:v>
      </x:c>
      <x:c r="F48" s="15" t="str">
        <x:v>Open detail/contact.</x:v>
      </x:c>
      <x:c r="G48" s="15" t="str">
        <x:v>Historical listing-level contact data continues to work.</x:v>
      </x:c>
      <x:c r="H48" s="15" t="str">
        <x:v>Anonymous</x:v>
      </x:c>
      <x:c r="I48" s="15" t="str">
        <x:v>E2E</x:v>
      </x:c>
      <x:c r="J48" s="15" t="str">
        <x:v>Automated</x:v>
      </x:c>
      <x:c r="K48" s="15" t="str">
        <x:v>P0</x:v>
      </x:c>
      <x:c r="L48" s="15" t="str">
        <x:v>Blocking</x:v>
      </x:c>
      <x:c r="M48" s="15" t="str">
        <x:v>L59-L79,L99-L115</x:v>
      </x:c>
      <x:c r="N48" s="15" t="str">
        <x:v>MODIFY</x:v>
      </x:c>
      <x:c r="O48" s="15" t="str">
        <x:v>Not Run</x:v>
      </x:c>
      <x:c r="P48" s="15" t="str"/>
    </x:row>
    <x:row r="49">
      <x:c r="A49" s="15" t="str">
        <x:v>LIST-019</x:v>
      </x:c>
      <x:c r="B49" s="15" t="str">
        <x:v>Listings</x:v>
      </x:c>
      <x:c r="C49" s="15" t="str">
        <x:v>Creation &amp; ownership</x:v>
      </x:c>
      <x:c r="D49" s="15" t="str">
        <x:v>New account does not auto-claim legacy listing by matching phone</x:v>
      </x:c>
      <x:c r="E49" s="15" t="str">
        <x:v>Legacy listing matches user's phone.</x:v>
      </x:c>
      <x:c r="F49" s="15" t="str">
        <x:v>Create/login account.</x:v>
      </x:c>
      <x:c r="G49" s="15" t="str">
        <x:v>owner_user_id remains unchanged until admin manually links it.</x:v>
      </x:c>
      <x:c r="H49" s="15" t="str">
        <x:v>Particular</x:v>
      </x:c>
      <x:c r="I49" s="15" t="str">
        <x:v>DB/RLS</x:v>
      </x:c>
      <x:c r="J49" s="15" t="str">
        <x:v>Automated</x:v>
      </x:c>
      <x:c r="K49" s="15" t="str">
        <x:v>P0</x:v>
      </x:c>
      <x:c r="L49" s="15" t="str">
        <x:v>Blocking</x:v>
      </x:c>
      <x:c r="M49" s="15" t="str">
        <x:v>L59-L79,L99-L115</x:v>
      </x:c>
      <x:c r="N49" s="15" t="str">
        <x:v>MODIFY</x:v>
      </x:c>
      <x:c r="O49" s="15" t="str">
        <x:v>Not Run</x:v>
      </x:c>
      <x:c r="P49" s="15" t="str"/>
    </x:row>
    <x:row r="50">
      <x:c r="A50" s="15" t="str">
        <x:v>LIST-020</x:v>
      </x:c>
      <x:c r="B50" s="15" t="str">
        <x:v>Listings</x:v>
      </x:c>
      <x:c r="C50" s="15" t="str">
        <x:v>Creation &amp; ownership</x:v>
      </x:c>
      <x:c r="D50" s="15" t="str">
        <x:v>Submission cannot assign another user's owner_user_id</x:v>
      </x:c>
      <x:c r="E50" s="15" t="str">
        <x:v>Two Particular accounts.</x:v>
      </x:c>
      <x:c r="F50" s="15" t="str">
        <x:v>Tamper submission owner ID.</x:v>
      </x:c>
      <x:c r="G50" s="15" t="str">
        <x:v>RLS/server validation prevents cross-account ownership.</x:v>
      </x:c>
      <x:c r="H50" s="15" t="str">
        <x:v>Particular</x:v>
      </x:c>
      <x:c r="I50" s="15" t="str">
        <x:v>DB/RLS</x:v>
      </x:c>
      <x:c r="J50" s="15" t="str">
        <x:v>Automated</x:v>
      </x:c>
      <x:c r="K50" s="15" t="str">
        <x:v>P0</x:v>
      </x:c>
      <x:c r="L50" s="15" t="str">
        <x:v>Blocking</x:v>
      </x:c>
      <x:c r="M50" s="15" t="str">
        <x:v>L59-L79,L99-L115</x:v>
      </x:c>
      <x:c r="N50" s="15" t="str">
        <x:v>MODIFY</x:v>
      </x:c>
      <x:c r="O50" s="15" t="str">
        <x:v>Not Run</x:v>
      </x:c>
      <x:c r="P50" s="15" t="str"/>
    </x:row>
    <x:row r="51">
      <x:c r="A51" s="15" t="str">
        <x:v>LIST-021</x:v>
      </x:c>
      <x:c r="B51" s="15" t="str">
        <x:v>Listings</x:v>
      </x:c>
      <x:c r="C51" s="15" t="str">
        <x:v>Creation &amp; ownership</x:v>
      </x:c>
      <x:c r="D51" s="15" t="str">
        <x:v>Submission retry does not duplicate listing</x:v>
      </x:c>
      <x:c r="E51" s="15" t="str">
        <x:v>Valid submission; simulate lost response.</x:v>
      </x:c>
      <x:c r="F51" s="15" t="str">
        <x:v>Retry same submission capability.</x:v>
      </x:c>
      <x:c r="G51" s="15" t="str">
        <x:v>Exactly one listing finalizes.</x:v>
      </x:c>
      <x:c r="H51" s="15" t="str">
        <x:v>Particular</x:v>
      </x:c>
      <x:c r="I51" s="15" t="str">
        <x:v>API/DB</x:v>
      </x:c>
      <x:c r="J51" s="15" t="str">
        <x:v>Automated</x:v>
      </x:c>
      <x:c r="K51" s="15" t="str">
        <x:v>P0</x:v>
      </x:c>
      <x:c r="L51" s="15" t="str">
        <x:v>Blocking</x:v>
      </x:c>
      <x:c r="M51" s="15" t="str">
        <x:v>L59-L79,L99-L115</x:v>
      </x:c>
      <x:c r="N51" s="15" t="str">
        <x:v>MODIFY</x:v>
      </x:c>
      <x:c r="O51" s="15" t="str">
        <x:v>Not Run</x:v>
      </x:c>
      <x:c r="P51" s="15" t="str"/>
    </x:row>
    <x:row r="52">
      <x:c r="A52" s="15" t="str">
        <x:v>LIST-022</x:v>
      </x:c>
      <x:c r="B52" s="15" t="str">
        <x:v>Listings</x:v>
      </x:c>
      <x:c r="C52" s="15" t="str">
        <x:v>Creation &amp; ownership</x:v>
      </x:c>
      <x:c r="D52" s="15" t="str">
        <x:v>Changed payload cannot misuse old retry token</x:v>
      </x:c>
      <x:c r="E52" s="15" t="str">
        <x:v>Issued retry token for one payload.</x:v>
      </x:c>
      <x:c r="F52" s="15" t="str">
        <x:v>Retry using materially changed values/files.</x:v>
      </x:c>
      <x:c r="G52" s="15" t="str">
        <x:v>Server rejects unsafe reuse or requires fresh capability; no overwrite/duplication.</x:v>
      </x:c>
      <x:c r="H52" s="15" t="str">
        <x:v>Particular</x:v>
      </x:c>
      <x:c r="I52" s="15" t="str">
        <x:v>API</x:v>
      </x:c>
      <x:c r="J52" s="15" t="str">
        <x:v>Automated</x:v>
      </x:c>
      <x:c r="K52" s="15" t="str">
        <x:v>P0</x:v>
      </x:c>
      <x:c r="L52" s="15" t="str">
        <x:v>Blocking</x:v>
      </x:c>
      <x:c r="M52" s="15" t="str">
        <x:v>L59-L79,L99-L115</x:v>
      </x:c>
      <x:c r="N52" s="15" t="str">
        <x:v>MODIFY</x:v>
      </x:c>
      <x:c r="O52" s="15" t="str">
        <x:v>Not Run</x:v>
      </x:c>
      <x:c r="P52" s="15" t="str"/>
    </x:row>
    <x:row r="53">
      <x:c r="A53" s="15" t="str">
        <x:v>PHOTO-001</x:v>
      </x:c>
      <x:c r="B53" s="15" t="str">
        <x:v>Listings</x:v>
      </x:c>
      <x:c r="C53" s="15" t="str">
        <x:v>Photos</x:v>
      </x:c>
      <x:c r="D53" s="15" t="str">
        <x:v>Exactly 2 valid photos is accepted</x:v>
      </x:c>
      <x:c r="E53" s="15" t="str">
        <x:v>Logged-in Particular.</x:v>
      </x:c>
      <x:c r="F53" s="15" t="str">
        <x:v>Submit with exactly two valid images.</x:v>
      </x:c>
      <x:c r="G53" s="15" t="str">
        <x:v>Submission passes photo-count validation.</x:v>
      </x:c>
      <x:c r="H53" s="15" t="str">
        <x:v>Particular</x:v>
      </x:c>
      <x:c r="I53" s="15" t="str">
        <x:v>E2E</x:v>
      </x:c>
      <x:c r="J53" s="15" t="str">
        <x:v>Automated</x:v>
      </x:c>
      <x:c r="K53" s="15" t="str">
        <x:v>P0</x:v>
      </x:c>
      <x:c r="L53" s="15" t="str">
        <x:v>Blocking</x:v>
      </x:c>
      <x:c r="M53" s="15" t="str">
        <x:v>L79-L79,L286-L302</x:v>
      </x:c>
      <x:c r="N53" s="15" t="str">
        <x:v>MODIFY</x:v>
      </x:c>
      <x:c r="O53" s="15" t="str">
        <x:v>Not Run</x:v>
      </x:c>
      <x:c r="P53" s="15" t="str"/>
    </x:row>
    <x:row r="54">
      <x:c r="A54" s="15" t="str">
        <x:v>PHOTO-002</x:v>
      </x:c>
      <x:c r="B54" s="15" t="str">
        <x:v>Listings</x:v>
      </x:c>
      <x:c r="C54" s="15" t="str">
        <x:v>Photos</x:v>
      </x:c>
      <x:c r="D54" s="15" t="str">
        <x:v>1 photo is rejected</x:v>
      </x:c>
      <x:c r="E54" s="15" t="str">
        <x:v>Logged-in Particular.</x:v>
      </x:c>
      <x:c r="F54" s="15" t="str">
        <x:v>Submit with one image.</x:v>
      </x:c>
      <x:c r="G54" s="15" t="str">
        <x:v>Submission blocked; minimum 2 stated.</x:v>
      </x:c>
      <x:c r="H54" s="15" t="str">
        <x:v>Particular</x:v>
      </x:c>
      <x:c r="I54" s="15" t="str">
        <x:v>E2E</x:v>
      </x:c>
      <x:c r="J54" s="15" t="str">
        <x:v>Automated</x:v>
      </x:c>
      <x:c r="K54" s="15" t="str">
        <x:v>P0</x:v>
      </x:c>
      <x:c r="L54" s="15" t="str">
        <x:v>Blocking</x:v>
      </x:c>
      <x:c r="M54" s="15" t="str">
        <x:v>L79-L79,L286-L302</x:v>
      </x:c>
      <x:c r="N54" s="15" t="str">
        <x:v>MODIFY</x:v>
      </x:c>
      <x:c r="O54" s="15" t="str">
        <x:v>Not Run</x:v>
      </x:c>
      <x:c r="P54" s="15" t="str"/>
    </x:row>
    <x:row r="55">
      <x:c r="A55" s="15" t="str">
        <x:v>PHOTO-003</x:v>
      </x:c>
      <x:c r="B55" s="15" t="str">
        <x:v>Listings</x:v>
      </x:c>
      <x:c r="C55" s="15" t="str">
        <x:v>Photos</x:v>
      </x:c>
      <x:c r="D55" s="15" t="str">
        <x:v>Exactly 10 photos is accepted</x:v>
      </x:c>
      <x:c r="E55" s="15" t="str">
        <x:v>Logged-in Particular.</x:v>
      </x:c>
      <x:c r="F55" s="15" t="str">
        <x:v>Submit with ten valid images.</x:v>
      </x:c>
      <x:c r="G55" s="15" t="str">
        <x:v>Submission succeeds if all other requirements pass.</x:v>
      </x:c>
      <x:c r="H55" s="15" t="str">
        <x:v>Particular</x:v>
      </x:c>
      <x:c r="I55" s="15" t="str">
        <x:v>E2E</x:v>
      </x:c>
      <x:c r="J55" s="15" t="str">
        <x:v>Automated</x:v>
      </x:c>
      <x:c r="K55" s="15" t="str">
        <x:v>P0</x:v>
      </x:c>
      <x:c r="L55" s="15" t="str">
        <x:v>Blocking</x:v>
      </x:c>
      <x:c r="M55" s="15" t="str">
        <x:v>L79-L79,L286-L302</x:v>
      </x:c>
      <x:c r="N55" s="15" t="str">
        <x:v>MODIFY</x:v>
      </x:c>
      <x:c r="O55" s="15" t="str">
        <x:v>Not Run</x:v>
      </x:c>
      <x:c r="P55" s="15" t="str"/>
    </x:row>
    <x:row r="56">
      <x:c r="A56" s="15" t="str">
        <x:v>PHOTO-004</x:v>
      </x:c>
      <x:c r="B56" s="15" t="str">
        <x:v>Listings</x:v>
      </x:c>
      <x:c r="C56" s="15" t="str">
        <x:v>Photos</x:v>
      </x:c>
      <x:c r="D56" s="15" t="str">
        <x:v>11 photos is rejected</x:v>
      </x:c>
      <x:c r="E56" s="15" t="str">
        <x:v>Logged-in Particular.</x:v>
      </x:c>
      <x:c r="F56" s="15" t="str">
        <x:v>Attempt eleven images.</x:v>
      </x:c>
      <x:c r="G56" s="15" t="str">
        <x:v>Client/server enforce maximum 10.</x:v>
      </x:c>
      <x:c r="H56" s="15" t="str">
        <x:v>Particular</x:v>
      </x:c>
      <x:c r="I56" s="15" t="str">
        <x:v>E2E</x:v>
      </x:c>
      <x:c r="J56" s="15" t="str">
        <x:v>Automated</x:v>
      </x:c>
      <x:c r="K56" s="15" t="str">
        <x:v>P0</x:v>
      </x:c>
      <x:c r="L56" s="15" t="str">
        <x:v>Blocking</x:v>
      </x:c>
      <x:c r="M56" s="15" t="str">
        <x:v>L79-L79,L286-L302</x:v>
      </x:c>
      <x:c r="N56" s="15" t="str">
        <x:v>MODIFY</x:v>
      </x:c>
      <x:c r="O56" s="15" t="str">
        <x:v>Not Run</x:v>
      </x:c>
      <x:c r="P56" s="15" t="str"/>
    </x:row>
    <x:row r="57">
      <x:c r="A57" s="15" t="str">
        <x:v>PHOTO-005</x:v>
      </x:c>
      <x:c r="B57" s="15" t="str">
        <x:v>Listings</x:v>
      </x:c>
      <x:c r="C57" s="15" t="str">
        <x:v>Photos</x:v>
      </x:c>
      <x:c r="D57" s="15" t="str">
        <x:v>Supported JPEG upload works</x:v>
      </x:c>
      <x:c r="E57" s="15" t="str">
        <x:v>Valid JPEG under size limit.</x:v>
      </x:c>
      <x:c r="F57" s="15" t="str">
        <x:v>Upload and submit.</x:v>
      </x:c>
      <x:c r="G57" s="15" t="str">
        <x:v>Image stored and associated.</x:v>
      </x:c>
      <x:c r="H57" s="15" t="str">
        <x:v>Particular</x:v>
      </x:c>
      <x:c r="I57" s="15" t="str">
        <x:v>E2E</x:v>
      </x:c>
      <x:c r="J57" s="15" t="str">
        <x:v>Automated</x:v>
      </x:c>
      <x:c r="K57" s="15" t="str">
        <x:v>P1</x:v>
      </x:c>
      <x:c r="L57" s="15" t="str">
        <x:v>Blocking</x:v>
      </x:c>
      <x:c r="M57" s="15" t="str">
        <x:v>L79-L79,L286-L302</x:v>
      </x:c>
      <x:c r="N57" s="15" t="str">
        <x:v>MODIFY</x:v>
      </x:c>
      <x:c r="O57" s="15" t="str">
        <x:v>Not Run</x:v>
      </x:c>
      <x:c r="P57" s="15" t="str"/>
    </x:row>
    <x:row r="58">
      <x:c r="A58" s="15" t="str">
        <x:v>PHOTO-006</x:v>
      </x:c>
      <x:c r="B58" s="15" t="str">
        <x:v>Listings</x:v>
      </x:c>
      <x:c r="C58" s="15" t="str">
        <x:v>Photos</x:v>
      </x:c>
      <x:c r="D58" s="15" t="str">
        <x:v>Supported PNG upload works</x:v>
      </x:c>
      <x:c r="E58" s="15" t="str">
        <x:v>Valid PNG under size limit.</x:v>
      </x:c>
      <x:c r="F58" s="15" t="str">
        <x:v>Upload and submit.</x:v>
      </x:c>
      <x:c r="G58" s="15" t="str">
        <x:v>Image stored and associated.</x:v>
      </x:c>
      <x:c r="H58" s="15" t="str">
        <x:v>Particular</x:v>
      </x:c>
      <x:c r="I58" s="15" t="str">
        <x:v>E2E</x:v>
      </x:c>
      <x:c r="J58" s="15" t="str">
        <x:v>Automated</x:v>
      </x:c>
      <x:c r="K58" s="15" t="str">
        <x:v>P1</x:v>
      </x:c>
      <x:c r="L58" s="15" t="str">
        <x:v>Blocking</x:v>
      </x:c>
      <x:c r="M58" s="15" t="str">
        <x:v>L79-L79,L286-L302</x:v>
      </x:c>
      <x:c r="N58" s="15" t="str">
        <x:v>MODIFY</x:v>
      </x:c>
      <x:c r="O58" s="15" t="str">
        <x:v>Not Run</x:v>
      </x:c>
      <x:c r="P58" s="15" t="str"/>
    </x:row>
    <x:row r="59">
      <x:c r="A59" s="15" t="str">
        <x:v>PHOTO-007</x:v>
      </x:c>
      <x:c r="B59" s="15" t="str">
        <x:v>Listings</x:v>
      </x:c>
      <x:c r="C59" s="15" t="str">
        <x:v>Photos</x:v>
      </x:c>
      <x:c r="D59" s="15" t="str">
        <x:v>Supported WebP upload works</x:v>
      </x:c>
      <x:c r="E59" s="15" t="str">
        <x:v>Valid WebP under size limit.</x:v>
      </x:c>
      <x:c r="F59" s="15" t="str">
        <x:v>Upload and submit.</x:v>
      </x:c>
      <x:c r="G59" s="15" t="str">
        <x:v>Image stored and associated.</x:v>
      </x:c>
      <x:c r="H59" s="15" t="str">
        <x:v>Particular</x:v>
      </x:c>
      <x:c r="I59" s="15" t="str">
        <x:v>E2E</x:v>
      </x:c>
      <x:c r="J59" s="15" t="str">
        <x:v>Automated</x:v>
      </x:c>
      <x:c r="K59" s="15" t="str">
        <x:v>P1</x:v>
      </x:c>
      <x:c r="L59" s="15" t="str">
        <x:v>Blocking</x:v>
      </x:c>
      <x:c r="M59" s="15" t="str">
        <x:v>L79-L79,L286-L302</x:v>
      </x:c>
      <x:c r="N59" s="15" t="str">
        <x:v>MODIFY</x:v>
      </x:c>
      <x:c r="O59" s="15" t="str">
        <x:v>Not Run</x:v>
      </x:c>
      <x:c r="P59" s="15" t="str"/>
    </x:row>
    <x:row r="60">
      <x:c r="A60" s="15" t="str">
        <x:v>PHOTO-008</x:v>
      </x:c>
      <x:c r="B60" s="15" t="str">
        <x:v>Listings</x:v>
      </x:c>
      <x:c r="C60" s="15" t="str">
        <x:v>Photos</x:v>
      </x:c>
      <x:c r="D60" s="15" t="str">
        <x:v>Unsupported file type is rejected</x:v>
      </x:c>
      <x:c r="E60" s="15" t="str">
        <x:v>Non-image/unsupported format.</x:v>
      </x:c>
      <x:c r="F60" s="15" t="str">
        <x:v>Upload.</x:v>
      </x:c>
      <x:c r="G60" s="15" t="str">
        <x:v>Rejected before finalization with useful message.</x:v>
      </x:c>
      <x:c r="H60" s="15" t="str">
        <x:v>Particular</x:v>
      </x:c>
      <x:c r="I60" s="15" t="str">
        <x:v>E2E</x:v>
      </x:c>
      <x:c r="J60" s="15" t="str">
        <x:v>Automated</x:v>
      </x:c>
      <x:c r="K60" s="15" t="str">
        <x:v>P0</x:v>
      </x:c>
      <x:c r="L60" s="15" t="str">
        <x:v>Blocking</x:v>
      </x:c>
      <x:c r="M60" s="15" t="str">
        <x:v>L79-L79,L286-L302</x:v>
      </x:c>
      <x:c r="N60" s="15" t="str">
        <x:v>MODIFY</x:v>
      </x:c>
      <x:c r="O60" s="15" t="str">
        <x:v>Not Run</x:v>
      </x:c>
      <x:c r="P60" s="15" t="str"/>
    </x:row>
    <x:row r="61">
      <x:c r="A61" s="15" t="str">
        <x:v>PHOTO-009</x:v>
      </x:c>
      <x:c r="B61" s="15" t="str">
        <x:v>Listings</x:v>
      </x:c>
      <x:c r="C61" s="15" t="str">
        <x:v>Photos</x:v>
      </x:c>
      <x:c r="D61" s="15" t="str">
        <x:v>Oversized file is rejected</x:v>
      </x:c>
      <x:c r="E61" s="15" t="str">
        <x:v>Image over storage limit.</x:v>
      </x:c>
      <x:c r="F61" s="15" t="str">
        <x:v>Upload.</x:v>
      </x:c>
      <x:c r="G61" s="15" t="str">
        <x:v>Rejected; no invalid photo row finalized.</x:v>
      </x:c>
      <x:c r="H61" s="15" t="str">
        <x:v>Particular</x:v>
      </x:c>
      <x:c r="I61" s="15" t="str">
        <x:v>E2E</x:v>
      </x:c>
      <x:c r="J61" s="15" t="str">
        <x:v>Automated</x:v>
      </x:c>
      <x:c r="K61" s="15" t="str">
        <x:v>P0</x:v>
      </x:c>
      <x:c r="L61" s="15" t="str">
        <x:v>Blocking</x:v>
      </x:c>
      <x:c r="M61" s="15" t="str">
        <x:v>L79-L79,L286-L302</x:v>
      </x:c>
      <x:c r="N61" s="15" t="str">
        <x:v>MODIFY</x:v>
      </x:c>
      <x:c r="O61" s="15" t="str">
        <x:v>Not Run</x:v>
      </x:c>
      <x:c r="P61" s="15" t="str"/>
    </x:row>
    <x:row r="62">
      <x:c r="A62" s="15" t="str">
        <x:v>PHOTO-010</x:v>
      </x:c>
      <x:c r="B62" s="15" t="str">
        <x:v>Listings</x:v>
      </x:c>
      <x:c r="C62" s="15" t="str">
        <x:v>Photos</x:v>
      </x:c>
      <x:c r="D62" s="15" t="str">
        <x:v>Photo reorder changes primary image</x:v>
      </x:c>
      <x:c r="E62" s="15" t="str">
        <x:v>Owned editable listing with &gt;=3 photos.</x:v>
      </x:c>
      <x:c r="F62" s="15" t="str">
        <x:v>Reorder images and save.</x:v>
      </x:c>
      <x:c r="G62" s="15" t="str">
        <x:v>sort_order persists and first image becomes catalog primary.</x:v>
      </x:c>
      <x:c r="H62" s="15" t="str">
        <x:v>Particular</x:v>
      </x:c>
      <x:c r="I62" s="15" t="str">
        <x:v>E2E</x:v>
      </x:c>
      <x:c r="J62" s="15" t="str">
        <x:v>Automated</x:v>
      </x:c>
      <x:c r="K62" s="15" t="str">
        <x:v>P1</x:v>
      </x:c>
      <x:c r="L62" s="15" t="str">
        <x:v>Blocking</x:v>
      </x:c>
      <x:c r="M62" s="15" t="str">
        <x:v>L79-L79,L286-L302</x:v>
      </x:c>
      <x:c r="N62" s="15" t="str">
        <x:v>MODIFY</x:v>
      </x:c>
      <x:c r="O62" s="15" t="str">
        <x:v>Not Run</x:v>
      </x:c>
      <x:c r="P62" s="15" t="str"/>
    </x:row>
    <x:row r="63">
      <x:c r="A63" s="15" t="str">
        <x:v>PHOTO-011</x:v>
      </x:c>
      <x:c r="B63" s="15" t="str">
        <x:v>Listings</x:v>
      </x:c>
      <x:c r="C63" s="15" t="str">
        <x:v>Photos</x:v>
      </x:c>
      <x:c r="D63" s="15" t="str">
        <x:v>Photo replacement preserves valid listing</x:v>
      </x:c>
      <x:c r="E63" s="15" t="str">
        <x:v>Owned listing with &gt;=2 photos.</x:v>
      </x:c>
      <x:c r="F63" s="15" t="str">
        <x:v>Replace one image.</x:v>
      </x:c>
      <x:c r="G63" s="15" t="str">
        <x:v>New image becomes associated; old image is no longer used; listing remains valid.</x:v>
      </x:c>
      <x:c r="H63" s="15" t="str">
        <x:v>Particular</x:v>
      </x:c>
      <x:c r="I63" s="15" t="str">
        <x:v>E2E</x:v>
      </x:c>
      <x:c r="J63" s="15" t="str">
        <x:v>Automated</x:v>
      </x:c>
      <x:c r="K63" s="15" t="str">
        <x:v>P1</x:v>
      </x:c>
      <x:c r="L63" s="15" t="str">
        <x:v>Blocking</x:v>
      </x:c>
      <x:c r="M63" s="15" t="str">
        <x:v>L79-L79,L286-L302</x:v>
      </x:c>
      <x:c r="N63" s="15" t="str">
        <x:v>MODIFY</x:v>
      </x:c>
      <x:c r="O63" s="15" t="str">
        <x:v>Not Run</x:v>
      </x:c>
      <x:c r="P63" s="15" t="str"/>
    </x:row>
    <x:row r="64">
      <x:c r="A64" s="15" t="str">
        <x:v>PHOTO-012</x:v>
      </x:c>
      <x:c r="B64" s="15" t="str">
        <x:v>Listings</x:v>
      </x:c>
      <x:c r="C64" s="15" t="str">
        <x:v>Photos</x:v>
      </x:c>
      <x:c r="D64" s="15" t="str">
        <x:v>Photo removal allowed while &gt;=2 remain</x:v>
      </x:c>
      <x:c r="E64" s="15" t="str">
        <x:v>Owned listing with 3+ photos.</x:v>
      </x:c>
      <x:c r="F64" s="15" t="str">
        <x:v>Remove one and save.</x:v>
      </x:c>
      <x:c r="G64" s="15" t="str">
        <x:v>Removal succeeds while count remains &gt;=2.</x:v>
      </x:c>
      <x:c r="H64" s="15" t="str">
        <x:v>Particular</x:v>
      </x:c>
      <x:c r="I64" s="15" t="str">
        <x:v>E2E</x:v>
      </x:c>
      <x:c r="J64" s="15" t="str">
        <x:v>Automated</x:v>
      </x:c>
      <x:c r="K64" s="15" t="str">
        <x:v>P1</x:v>
      </x:c>
      <x:c r="L64" s="15" t="str">
        <x:v>Blocking</x:v>
      </x:c>
      <x:c r="M64" s="15" t="str">
        <x:v>L79-L79,L286-L302</x:v>
      </x:c>
      <x:c r="N64" s="15" t="str">
        <x:v>MODIFY</x:v>
      </x:c>
      <x:c r="O64" s="15" t="str">
        <x:v>Not Run</x:v>
      </x:c>
      <x:c r="P64" s="15" t="str"/>
    </x:row>
    <x:row r="65">
      <x:c r="A65" s="15" t="str">
        <x:v>PHOTO-013</x:v>
      </x:c>
      <x:c r="B65" s="15" t="str">
        <x:v>Listings</x:v>
      </x:c>
      <x:c r="C65" s="15" t="str">
        <x:v>Photos</x:v>
      </x:c>
      <x:c r="D65" s="15" t="str">
        <x:v>Photo removal blocked below minimum</x:v>
      </x:c>
      <x:c r="E65" s="15" t="str">
        <x:v>Owned listing with 2 photos.</x:v>
      </x:c>
      <x:c r="F65" s="15" t="str">
        <x:v>Attempt to remove one.</x:v>
      </x:c>
      <x:c r="G65" s="15" t="str">
        <x:v>Operation blocked or revision cannot publish below 2.</x:v>
      </x:c>
      <x:c r="H65" s="15" t="str">
        <x:v>Particular</x:v>
      </x:c>
      <x:c r="I65" s="15" t="str">
        <x:v>E2E</x:v>
      </x:c>
      <x:c r="J65" s="15" t="str">
        <x:v>Automated</x:v>
      </x:c>
      <x:c r="K65" s="15" t="str">
        <x:v>P0</x:v>
      </x:c>
      <x:c r="L65" s="15" t="str">
        <x:v>Blocking</x:v>
      </x:c>
      <x:c r="M65" s="15" t="str">
        <x:v>L79-L79,L286-L302</x:v>
      </x:c>
      <x:c r="N65" s="15" t="str">
        <x:v>MODIFY</x:v>
      </x:c>
      <x:c r="O65" s="15" t="str">
        <x:v>Not Run</x:v>
      </x:c>
      <x:c r="P65" s="15" t="str"/>
    </x:row>
    <x:row r="66">
      <x:c r="A66" s="15" t="str">
        <x:v>PHOTO-014</x:v>
      </x:c>
      <x:c r="B66" s="15" t="str">
        <x:v>Listings</x:v>
      </x:c>
      <x:c r="C66" s="15" t="str">
        <x:v>Photos</x:v>
      </x:c>
      <x:c r="D66" s="15" t="str">
        <x:v>Partial upload failure is recoverable</x:v>
      </x:c>
      <x:c r="E66" s="15" t="str">
        <x:v>Valid submission; force later upload failure.</x:v>
      </x:c>
      <x:c r="F66" s="15" t="str">
        <x:v>Retry without closing page.</x:v>
      </x:c>
      <x:c r="G66" s="15" t="str">
        <x:v>Previously hardened retry/cleanup flow recovers without duplicate listing.</x:v>
      </x:c>
      <x:c r="H66" s="15" t="str">
        <x:v>Particular</x:v>
      </x:c>
      <x:c r="I66" s="15" t="str">
        <x:v>Integration</x:v>
      </x:c>
      <x:c r="J66" s="15" t="str">
        <x:v>Automated</x:v>
      </x:c>
      <x:c r="K66" s="15" t="str">
        <x:v>P0</x:v>
      </x:c>
      <x:c r="L66" s="15" t="str">
        <x:v>Blocking</x:v>
      </x:c>
      <x:c r="M66" s="15" t="str">
        <x:v>L79-L79,L286-L302</x:v>
      </x:c>
      <x:c r="N66" s="15" t="str">
        <x:v>MODIFY</x:v>
      </x:c>
      <x:c r="O66" s="15" t="str">
        <x:v>Not Run</x:v>
      </x:c>
      <x:c r="P66" s="15" t="str"/>
    </x:row>
    <x:row r="67">
      <x:c r="A67" s="15" t="str">
        <x:v>PHOTO-015</x:v>
      </x:c>
      <x:c r="B67" s="15" t="str">
        <x:v>Listings</x:v>
      </x:c>
      <x:c r="C67" s="15" t="str">
        <x:v>Photos</x:v>
      </x:c>
      <x:c r="D67" s="15" t="str">
        <x:v>Closing page mid-upload may leave orphan but must not create public listing</x:v>
      </x:c>
      <x:c r="E67" s="15" t="str">
        <x:v>Interrupt browser during upload.</x:v>
      </x:c>
      <x:c r="F67" s="15" t="str">
        <x:v>Close before finalization then inspect DB/public catalog.</x:v>
      </x:c>
      <x:c r="G67" s="15" t="str">
        <x:v>No finalized/public invalid listing exists; known orphan-storage limitation only.</x:v>
      </x:c>
      <x:c r="H67" s="15" t="str">
        <x:v>Particular</x:v>
      </x:c>
      <x:c r="I67" s="15" t="str">
        <x:v>Integration</x:v>
      </x:c>
      <x:c r="J67" s="15" t="str">
        <x:v>Both</x:v>
      </x:c>
      <x:c r="K67" s="15" t="str">
        <x:v>P1</x:v>
      </x:c>
      <x:c r="L67" s="15" t="str">
        <x:v>Blocking</x:v>
      </x:c>
      <x:c r="M67" s="15" t="str">
        <x:v>L79-L79,L286-L302</x:v>
      </x:c>
      <x:c r="N67" s="15" t="str">
        <x:v>MODIFY</x:v>
      </x:c>
      <x:c r="O67" s="15" t="str">
        <x:v>Not Run</x:v>
      </x:c>
      <x:c r="P67" s="15" t="str"/>
    </x:row>
    <x:row r="68">
      <x:c r="A68" s="15" t="str">
        <x:v>PHOTO-016</x:v>
      </x:c>
      <x:c r="B68" s="15" t="str">
        <x:v>Listings</x:v>
      </x:c>
      <x:c r="C68" s="15" t="str">
        <x:v>Photos</x:v>
      </x:c>
      <x:c r="D68" s="15" t="str">
        <x:v>Card uses optimized responsive image rather than eager original</x:v>
      </x:c>
      <x:c r="E68" s="15" t="str">
        <x:v>Approved listing.</x:v>
      </x:c>
      <x:c r="F68" s="15" t="str">
        <x:v>Inspect rendered card/network behavior.</x:v>
      </x:c>
      <x:c r="G68" s="15" t="str">
        <x:v>Responsive optimized image path/sizes are used.</x:v>
      </x:c>
      <x:c r="H68" s="15" t="str">
        <x:v>Anonymous</x:v>
      </x:c>
      <x:c r="I68" s="15" t="str">
        <x:v>Performance</x:v>
      </x:c>
      <x:c r="J68" s="15" t="str">
        <x:v>Both</x:v>
      </x:c>
      <x:c r="K68" s="15" t="str">
        <x:v>P1</x:v>
      </x:c>
      <x:c r="L68" s="15" t="str">
        <x:v>Blocking</x:v>
      </x:c>
      <x:c r="M68" s="15" t="str">
        <x:v>L79-L79,L286-L302</x:v>
      </x:c>
      <x:c r="N68" s="15" t="str">
        <x:v>MODIFY</x:v>
      </x:c>
      <x:c r="O68" s="15" t="str">
        <x:v>Not Run</x:v>
      </x:c>
      <x:c r="P68" s="15" t="str"/>
    </x:row>
    <x:row r="69">
      <x:c r="A69" s="15" t="str">
        <x:v>PHOTO-017</x:v>
      </x:c>
      <x:c r="B69" s="15" t="str">
        <x:v>Listings</x:v>
      </x:c>
      <x:c r="C69" s="15" t="str">
        <x:v>Photos</x:v>
      </x:c>
      <x:c r="D69" s="15" t="str">
        <x:v>Detail thumbnails are lazy/responsive</x:v>
      </x:c>
      <x:c r="E69" s="15" t="str">
        <x:v>Approved listing with many photos.</x:v>
      </x:c>
      <x:c r="F69" s="15" t="str">
        <x:v>Open detail and inspect network.</x:v>
      </x:c>
      <x:c r="G69" s="15" t="str">
        <x:v>Thumbnails do not eagerly download all full-size originals.</x:v>
      </x:c>
      <x:c r="H69" s="15" t="str">
        <x:v>Anonymous</x:v>
      </x:c>
      <x:c r="I69" s="15" t="str">
        <x:v>Performance</x:v>
      </x:c>
      <x:c r="J69" s="15" t="str">
        <x:v>Both</x:v>
      </x:c>
      <x:c r="K69" s="15" t="str">
        <x:v>P1</x:v>
      </x:c>
      <x:c r="L69" s="15" t="str">
        <x:v>Blocking</x:v>
      </x:c>
      <x:c r="M69" s="15" t="str">
        <x:v>L79-L79,L286-L302</x:v>
      </x:c>
      <x:c r="N69" s="15" t="str">
        <x:v>MODIFY</x:v>
      </x:c>
      <x:c r="O69" s="15" t="str">
        <x:v>Not Run</x:v>
      </x:c>
      <x:c r="P69" s="15" t="str"/>
    </x:row>
    <x:row r="70">
      <x:c r="A70" s="15" t="str">
        <x:v>RLS-001</x:v>
      </x:c>
      <x:c r="B70" s="15" t="str">
        <x:v>Security &amp; Ownership</x:v>
      </x:c>
      <x:c r="C70" s="15" t="str">
        <x:v>Listing RLS</x:v>
      </x:c>
      <x:c r="D70" s="15" t="str">
        <x:v>Owner can read own pending listing</x:v>
      </x:c>
      <x:c r="E70" s="15" t="str">
        <x:v>Particular owns pending listing.</x:v>
      </x:c>
      <x:c r="F70" s="15" t="str">
        <x:v>Query/open account listing.</x:v>
      </x:c>
      <x:c r="G70" s="15" t="str">
        <x:v>Owner can access it in account context.</x:v>
      </x:c>
      <x:c r="H70" s="15" t="str">
        <x:v>Particular</x:v>
      </x:c>
      <x:c r="I70" s="15" t="str">
        <x:v>DB/RLS</x:v>
      </x:c>
      <x:c r="J70" s="15" t="str">
        <x:v>Automated</x:v>
      </x:c>
      <x:c r="K70" s="15" t="str">
        <x:v>P0</x:v>
      </x:c>
      <x:c r="L70" s="15" t="str">
        <x:v>Blocking</x:v>
      </x:c>
      <x:c r="M70" s="15" t="str">
        <x:v>L87-L97,L115-L115,L246-L252</x:v>
      </x:c>
      <x:c r="N70" s="15" t="str">
        <x:v>MODIFY</x:v>
      </x:c>
      <x:c r="O70" s="15" t="str">
        <x:v>Not Run</x:v>
      </x:c>
      <x:c r="P70" s="15" t="str"/>
    </x:row>
    <x:row r="71">
      <x:c r="A71" s="15" t="str">
        <x:v>RLS-002</x:v>
      </x:c>
      <x:c r="B71" s="15" t="str">
        <x:v>Security &amp; Ownership</x:v>
      </x:c>
      <x:c r="C71" s="15" t="str">
        <x:v>Listing RLS</x:v>
      </x:c>
      <x:c r="D71" s="15" t="str">
        <x:v>Owner can read own rejected listing</x:v>
      </x:c>
      <x:c r="E71" s="15" t="str">
        <x:v>Particular owns rejected listing.</x:v>
      </x:c>
      <x:c r="F71" s="15" t="str">
        <x:v>Open account listing.</x:v>
      </x:c>
      <x:c r="G71" s="15" t="str">
        <x:v>Owner can see status/reason as allowed.</x:v>
      </x:c>
      <x:c r="H71" s="15" t="str">
        <x:v>Particular</x:v>
      </x:c>
      <x:c r="I71" s="15" t="str">
        <x:v>DB/RLS</x:v>
      </x:c>
      <x:c r="J71" s="15" t="str">
        <x:v>Automated</x:v>
      </x:c>
      <x:c r="K71" s="15" t="str">
        <x:v>P0</x:v>
      </x:c>
      <x:c r="L71" s="15" t="str">
        <x:v>Blocking</x:v>
      </x:c>
      <x:c r="M71" s="15" t="str">
        <x:v>L87-L97,L115-L115,L246-L252</x:v>
      </x:c>
      <x:c r="N71" s="15" t="str">
        <x:v>MODIFY</x:v>
      </x:c>
      <x:c r="O71" s="15" t="str">
        <x:v>Not Run</x:v>
      </x:c>
      <x:c r="P71" s="15" t="str"/>
    </x:row>
    <x:row r="72">
      <x:c r="A72" s="15" t="str">
        <x:v>RLS-003</x:v>
      </x:c>
      <x:c r="B72" s="15" t="str">
        <x:v>Security &amp; Ownership</x:v>
      </x:c>
      <x:c r="C72" s="15" t="str">
        <x:v>Listing RLS</x:v>
      </x:c>
      <x:c r="D72" s="15" t="str">
        <x:v>Unrelated Particular cannot read another user's nonpublic listing</x:v>
      </x:c>
      <x:c r="E72" s="15" t="str">
        <x:v>Two users; pending listing owned by A.</x:v>
      </x:c>
      <x:c r="F72" s="15" t="str">
        <x:v>B attempts direct data access.</x:v>
      </x:c>
      <x:c r="G72" s="15" t="str">
        <x:v>Access denied/no row returned.</x:v>
      </x:c>
      <x:c r="H72" s="15" t="str">
        <x:v>Particular</x:v>
      </x:c>
      <x:c r="I72" s="15" t="str">
        <x:v>DB/RLS</x:v>
      </x:c>
      <x:c r="J72" s="15" t="str">
        <x:v>Automated</x:v>
      </x:c>
      <x:c r="K72" s="15" t="str">
        <x:v>P0</x:v>
      </x:c>
      <x:c r="L72" s="15" t="str">
        <x:v>Blocking</x:v>
      </x:c>
      <x:c r="M72" s="15" t="str">
        <x:v>L87-L97,L115-L115,L246-L252</x:v>
      </x:c>
      <x:c r="N72" s="15" t="str">
        <x:v>MODIFY</x:v>
      </x:c>
      <x:c r="O72" s="15" t="str">
        <x:v>Not Run</x:v>
      </x:c>
      <x:c r="P72" s="15" t="str"/>
    </x:row>
    <x:row r="73">
      <x:c r="A73" s="15" t="str">
        <x:v>RLS-004</x:v>
      </x:c>
      <x:c r="B73" s="15" t="str">
        <x:v>Security &amp; Ownership</x:v>
      </x:c>
      <x:c r="C73" s="15" t="str">
        <x:v>Listing RLS</x:v>
      </x:c>
      <x:c r="D73" s="15" t="str">
        <x:v>Unrelated Particular cannot update another user's listing</x:v>
      </x:c>
      <x:c r="E73" s="15" t="str">
        <x:v>Two users.</x:v>
      </x:c>
      <x:c r="F73" s="15" t="str">
        <x:v>B attempts update to A listing.</x:v>
      </x:c>
      <x:c r="G73" s="15" t="str">
        <x:v>Update denied.</x:v>
      </x:c>
      <x:c r="H73" s="15" t="str">
        <x:v>Particular</x:v>
      </x:c>
      <x:c r="I73" s="15" t="str">
        <x:v>DB/RLS</x:v>
      </x:c>
      <x:c r="J73" s="15" t="str">
        <x:v>Automated</x:v>
      </x:c>
      <x:c r="K73" s="15" t="str">
        <x:v>P0</x:v>
      </x:c>
      <x:c r="L73" s="15" t="str">
        <x:v>Blocking</x:v>
      </x:c>
      <x:c r="M73" s="15" t="str">
        <x:v>L87-L97,L115-L115,L246-L252</x:v>
      </x:c>
      <x:c r="N73" s="15" t="str">
        <x:v>MODIFY</x:v>
      </x:c>
      <x:c r="O73" s="15" t="str">
        <x:v>Not Run</x:v>
      </x:c>
      <x:c r="P73" s="15" t="str"/>
    </x:row>
    <x:row r="74">
      <x:c r="A74" s="15" t="str">
        <x:v>RLS-005</x:v>
      </x:c>
      <x:c r="B74" s="15" t="str">
        <x:v>Security &amp; Ownership</x:v>
      </x:c>
      <x:c r="C74" s="15" t="str">
        <x:v>Listing RLS</x:v>
      </x:c>
      <x:c r="D74" s="15" t="str">
        <x:v>Owner cannot mutate protected status directly</x:v>
      </x:c>
      <x:c r="E74" s="15" t="str">
        <x:v>Owned listing.</x:v>
      </x:c>
      <x:c r="F74" s="15" t="str">
        <x:v>Attempt direct status update.</x:v>
      </x:c>
      <x:c r="G74" s="15" t="str">
        <x:v>Trigger/RLS blocks protected-field change.</x:v>
      </x:c>
      <x:c r="H74" s="15" t="str">
        <x:v>Particular</x:v>
      </x:c>
      <x:c r="I74" s="15" t="str">
        <x:v>DB/RLS</x:v>
      </x:c>
      <x:c r="J74" s="15" t="str">
        <x:v>Automated</x:v>
      </x:c>
      <x:c r="K74" s="15" t="str">
        <x:v>P0</x:v>
      </x:c>
      <x:c r="L74" s="15" t="str">
        <x:v>Blocking</x:v>
      </x:c>
      <x:c r="M74" s="15" t="str">
        <x:v>L87-L97,L115-L115,L246-L252</x:v>
      </x:c>
      <x:c r="N74" s="15" t="str">
        <x:v>MODIFY</x:v>
      </x:c>
      <x:c r="O74" s="15" t="str">
        <x:v>Not Run</x:v>
      </x:c>
      <x:c r="P74" s="15" t="str"/>
    </x:row>
    <x:row r="75">
      <x:c r="A75" s="15" t="str">
        <x:v>RLS-006</x:v>
      </x:c>
      <x:c r="B75" s="15" t="str">
        <x:v>Security &amp; Ownership</x:v>
      </x:c>
      <x:c r="C75" s="15" t="str">
        <x:v>Listing RLS</x:v>
      </x:c>
      <x:c r="D75" s="15" t="str">
        <x:v>Owner cannot mutate published_at directly</x:v>
      </x:c>
      <x:c r="E75" s="15" t="str">
        <x:v>Owned listing.</x:v>
      </x:c>
      <x:c r="F75" s="15" t="str">
        <x:v>Attempt published_at update.</x:v>
      </x:c>
      <x:c r="G75" s="15" t="str">
        <x:v>Change blocked.</x:v>
      </x:c>
      <x:c r="H75" s="15" t="str">
        <x:v>Particular</x:v>
      </x:c>
      <x:c r="I75" s="15" t="str">
        <x:v>DB/RLS</x:v>
      </x:c>
      <x:c r="J75" s="15" t="str">
        <x:v>Automated</x:v>
      </x:c>
      <x:c r="K75" s="15" t="str">
        <x:v>P0</x:v>
      </x:c>
      <x:c r="L75" s="15" t="str">
        <x:v>Blocking</x:v>
      </x:c>
      <x:c r="M75" s="15" t="str">
        <x:v>L87-L97,L115-L115,L246-L252</x:v>
      </x:c>
      <x:c r="N75" s="15" t="str">
        <x:v>MODIFY</x:v>
      </x:c>
      <x:c r="O75" s="15" t="str">
        <x:v>Not Run</x:v>
      </x:c>
      <x:c r="P75" s="15" t="str"/>
    </x:row>
    <x:row r="76">
      <x:c r="A76" s="15" t="str">
        <x:v>RLS-007</x:v>
      </x:c>
      <x:c r="B76" s="15" t="str">
        <x:v>Security &amp; Ownership</x:v>
      </x:c>
      <x:c r="C76" s="15" t="str">
        <x:v>Listing RLS</x:v>
      </x:c>
      <x:c r="D76" s="15" t="str">
        <x:v>Owner cannot mutate view_count directly</x:v>
      </x:c>
      <x:c r="E76" s="15" t="str">
        <x:v>Owned listing.</x:v>
      </x:c>
      <x:c r="F76" s="15" t="str">
        <x:v>Attempt view_count update.</x:v>
      </x:c>
      <x:c r="G76" s="15" t="str">
        <x:v>Change blocked.</x:v>
      </x:c>
      <x:c r="H76" s="15" t="str">
        <x:v>Particular</x:v>
      </x:c>
      <x:c r="I76" s="15" t="str">
        <x:v>DB/RLS</x:v>
      </x:c>
      <x:c r="J76" s="15" t="str">
        <x:v>Automated</x:v>
      </x:c>
      <x:c r="K76" s="15" t="str">
        <x:v>P0</x:v>
      </x:c>
      <x:c r="L76" s="15" t="str">
        <x:v>Blocking</x:v>
      </x:c>
      <x:c r="M76" s="15" t="str">
        <x:v>L87-L97,L115-L115,L246-L252</x:v>
      </x:c>
      <x:c r="N76" s="15" t="str">
        <x:v>MODIFY</x:v>
      </x:c>
      <x:c r="O76" s="15" t="str">
        <x:v>Not Run</x:v>
      </x:c>
      <x:c r="P76" s="15" t="str"/>
    </x:row>
    <x:row r="77">
      <x:c r="A77" s="15" t="str">
        <x:v>RLS-008</x:v>
      </x:c>
      <x:c r="B77" s="15" t="str">
        <x:v>Security &amp; Ownership</x:v>
      </x:c>
      <x:c r="C77" s="15" t="str">
        <x:v>Listing RLS</x:v>
      </x:c>
      <x:c r="D77" s="15" t="str">
        <x:v>Owner cannot change seller_type to store</x:v>
      </x:c>
      <x:c r="E77" s="15" t="str">
        <x:v>Owned individual listing.</x:v>
      </x:c>
      <x:c r="F77" s="15" t="str">
        <x:v>Tamper seller_type.</x:v>
      </x:c>
      <x:c r="G77" s="15" t="str">
        <x:v>Change blocked.</x:v>
      </x:c>
      <x:c r="H77" s="15" t="str">
        <x:v>Particular</x:v>
      </x:c>
      <x:c r="I77" s="15" t="str">
        <x:v>DB/RLS</x:v>
      </x:c>
      <x:c r="J77" s="15" t="str">
        <x:v>Automated</x:v>
      </x:c>
      <x:c r="K77" s="15" t="str">
        <x:v>P0</x:v>
      </x:c>
      <x:c r="L77" s="15" t="str">
        <x:v>Blocking</x:v>
      </x:c>
      <x:c r="M77" s="15" t="str">
        <x:v>L87-L97,L115-L115,L246-L252</x:v>
      </x:c>
      <x:c r="N77" s="15" t="str">
        <x:v>MODIFY</x:v>
      </x:c>
      <x:c r="O77" s="15" t="str">
        <x:v>Not Run</x:v>
      </x:c>
      <x:c r="P77" s="15" t="str"/>
    </x:row>
    <x:row r="78">
      <x:c r="A78" s="15" t="str">
        <x:v>RLS-009</x:v>
      </x:c>
      <x:c r="B78" s="15" t="str">
        <x:v>Security &amp; Ownership</x:v>
      </x:c>
      <x:c r="C78" s="15" t="str">
        <x:v>Listing RLS</x:v>
      </x:c>
      <x:c r="D78" s="15" t="str">
        <x:v>Owner cannot attach arbitrary store_id</x:v>
      </x:c>
      <x:c r="E78" s="15" t="str">
        <x:v>Owned individual listing.</x:v>
      </x:c>
      <x:c r="F78" s="15" t="str">
        <x:v>Tamper store_id.</x:v>
      </x:c>
      <x:c r="G78" s="15" t="str">
        <x:v>Change blocked.</x:v>
      </x:c>
      <x:c r="H78" s="15" t="str">
        <x:v>Particular</x:v>
      </x:c>
      <x:c r="I78" s="15" t="str">
        <x:v>DB/RLS</x:v>
      </x:c>
      <x:c r="J78" s="15" t="str">
        <x:v>Automated</x:v>
      </x:c>
      <x:c r="K78" s="15" t="str">
        <x:v>P0</x:v>
      </x:c>
      <x:c r="L78" s="15" t="str">
        <x:v>Blocking</x:v>
      </x:c>
      <x:c r="M78" s="15" t="str">
        <x:v>L87-L97,L115-L115,L246-L252</x:v>
      </x:c>
      <x:c r="N78" s="15" t="str">
        <x:v>MODIFY</x:v>
      </x:c>
      <x:c r="O78" s="15" t="str">
        <x:v>Not Run</x:v>
      </x:c>
      <x:c r="P78" s="15" t="str"/>
    </x:row>
    <x:row r="79">
      <x:c r="A79" s="15" t="str">
        <x:v>RLS-010</x:v>
      </x:c>
      <x:c r="B79" s="15" t="str">
        <x:v>Security &amp; Ownership</x:v>
      </x:c>
      <x:c r="C79" s="15" t="str">
        <x:v>Listing RLS</x:v>
      </x:c>
      <x:c r="D79" s="15" t="str">
        <x:v>Admin retains moderation authority</x:v>
      </x:c>
      <x:c r="E79" s="15" t="str">
        <x:v>Admin + pending listing.</x:v>
      </x:c>
      <x:c r="F79" s="15" t="str">
        <x:v>Approve/reject via trusted path.</x:v>
      </x:c>
      <x:c r="G79" s="15" t="str">
        <x:v>Authorized admin action succeeds.</x:v>
      </x:c>
      <x:c r="H79" s="15" t="str">
        <x:v>Admin</x:v>
      </x:c>
      <x:c r="I79" s="15" t="str">
        <x:v>DB/RLS</x:v>
      </x:c>
      <x:c r="J79" s="15" t="str">
        <x:v>Automated</x:v>
      </x:c>
      <x:c r="K79" s="15" t="str">
        <x:v>P0</x:v>
      </x:c>
      <x:c r="L79" s="15" t="str">
        <x:v>Blocking</x:v>
      </x:c>
      <x:c r="M79" s="15" t="str">
        <x:v>L87-L97,L115-L115,L246-L252</x:v>
      </x:c>
      <x:c r="N79" s="15" t="str">
        <x:v>MODIFY</x:v>
      </x:c>
      <x:c r="O79" s="15" t="str">
        <x:v>Not Run</x:v>
      </x:c>
      <x:c r="P79" s="15" t="str"/>
    </x:row>
    <x:row r="80">
      <x:c r="A80" s="15" t="str">
        <x:v>RLS-011</x:v>
      </x:c>
      <x:c r="B80" s="15" t="str">
        <x:v>Security &amp; Ownership</x:v>
      </x:c>
      <x:c r="C80" s="15" t="str">
        <x:v>Listing RLS</x:v>
      </x:c>
      <x:c r="D80" s="15" t="str">
        <x:v>Public reads only publicly eligible inventory</x:v>
      </x:c>
      <x:c r="E80" s="15" t="str">
        <x:v>Mix approved/pending/rejected/hidden/sold.</x:v>
      </x:c>
      <x:c r="F80" s="15" t="str">
        <x:v>Query public catalog.</x:v>
      </x:c>
      <x:c r="G80" s="15" t="str">
        <x:v>Only approved active inventory appears.</x:v>
      </x:c>
      <x:c r="H80" s="15" t="str">
        <x:v>Anonymous</x:v>
      </x:c>
      <x:c r="I80" s="15" t="str">
        <x:v>DB/RLS</x:v>
      </x:c>
      <x:c r="J80" s="15" t="str">
        <x:v>Automated</x:v>
      </x:c>
      <x:c r="K80" s="15" t="str">
        <x:v>P0</x:v>
      </x:c>
      <x:c r="L80" s="15" t="str">
        <x:v>Blocking</x:v>
      </x:c>
      <x:c r="M80" s="15" t="str">
        <x:v>L87-L97,L115-L115,L246-L252</x:v>
      </x:c>
      <x:c r="N80" s="15" t="str">
        <x:v>MODIFY</x:v>
      </x:c>
      <x:c r="O80" s="15" t="str">
        <x:v>Not Run</x:v>
      </x:c>
      <x:c r="P80" s="15" t="str"/>
    </x:row>
    <x:row r="81">
      <x:c r="A81" s="15" t="str">
        <x:v>RLS-012</x:v>
      </x:c>
      <x:c r="B81" s="15" t="str">
        <x:v>Security &amp; Ownership</x:v>
      </x:c>
      <x:c r="C81" s="15" t="str">
        <x:v>Listing RLS</x:v>
      </x:c>
      <x:c r="D81" s="15" t="str">
        <x:v>Public photo access follows eligible listing state</x:v>
      </x:c>
      <x:c r="E81" s="15" t="str">
        <x:v>Photos across listing states.</x:v>
      </x:c>
      <x:c r="F81" s="15" t="str">
        <x:v>Attempt public photo relation reads.</x:v>
      </x:c>
      <x:c r="G81" s="15" t="str">
        <x:v>Public app/data exposure follows listing visibility rules.</x:v>
      </x:c>
      <x:c r="H81" s="15" t="str">
        <x:v>Anonymous</x:v>
      </x:c>
      <x:c r="I81" s="15" t="str">
        <x:v>DB/RLS</x:v>
      </x:c>
      <x:c r="J81" s="15" t="str">
        <x:v>Automated</x:v>
      </x:c>
      <x:c r="K81" s="15" t="str">
        <x:v>P0</x:v>
      </x:c>
      <x:c r="L81" s="15" t="str">
        <x:v>Blocking</x:v>
      </x:c>
      <x:c r="M81" s="15" t="str">
        <x:v>L87-L97,L115-L115,L246-L252</x:v>
      </x:c>
      <x:c r="N81" s="15" t="str">
        <x:v>MODIFY</x:v>
      </x:c>
      <x:c r="O81" s="15" t="str">
        <x:v>Not Run</x:v>
      </x:c>
      <x:c r="P81" s="15" t="str"/>
    </x:row>
    <x:row r="82">
      <x:c r="A82" s="15" t="str">
        <x:v>LIFE-001</x:v>
      </x:c>
      <x:c r="B82" s="15" t="str">
        <x:v>Listings</x:v>
      </x:c>
      <x:c r="C82" s="15" t="str">
        <x:v>Lifecycle</x:v>
      </x:c>
      <x:c r="D82" s="15" t="str">
        <x:v>Admin approval publishes pending Particular listing</x:v>
      </x:c>
      <x:c r="E82" s="15" t="str">
        <x:v>Pending valid listing.</x:v>
      </x:c>
      <x:c r="F82" s="15" t="str">
        <x:v>Admin approves.</x:v>
      </x:c>
      <x:c r="G82" s="15" t="str">
        <x:v>Status becomes approved and public; first publication timestamp set.</x:v>
      </x:c>
      <x:c r="H82" s="15" t="str">
        <x:v>Admin</x:v>
      </x:c>
      <x:c r="I82" s="15" t="str">
        <x:v>E2E</x:v>
      </x:c>
      <x:c r="J82" s="15" t="str">
        <x:v>Automated</x:v>
      </x:c>
      <x:c r="K82" s="15" t="str">
        <x:v>P0</x:v>
      </x:c>
      <x:c r="L82" s="15" t="str">
        <x:v>Blocking</x:v>
      </x:c>
      <x:c r="M82" s="15" t="str">
        <x:v>L81-L97</x:v>
      </x:c>
      <x:c r="N82" s="15" t="str">
        <x:v>MODIFY</x:v>
      </x:c>
      <x:c r="O82" s="15" t="str">
        <x:v>Not Run</x:v>
      </x:c>
      <x:c r="P82" s="15" t="str"/>
    </x:row>
    <x:row r="83">
      <x:c r="A83" s="15" t="str">
        <x:v>LIFE-002</x:v>
      </x:c>
      <x:c r="B83" s="15" t="str">
        <x:v>Listings</x:v>
      </x:c>
      <x:c r="C83" s="15" t="str">
        <x:v>Lifecycle</x:v>
      </x:c>
      <x:c r="D83" s="15" t="str">
        <x:v>Admin rejection keeps listing nonpublic</x:v>
      </x:c>
      <x:c r="E83" s="15" t="str">
        <x:v>Pending listing.</x:v>
      </x:c>
      <x:c r="F83" s="15" t="str">
        <x:v>Admin rejects with reason.</x:v>
      </x:c>
      <x:c r="G83" s="15" t="str">
        <x:v>Listing not public; owner sees rejection reason; email workflow eligible.</x:v>
      </x:c>
      <x:c r="H83" s="15" t="str">
        <x:v>Admin</x:v>
      </x:c>
      <x:c r="I83" s="15" t="str">
        <x:v>E2E</x:v>
      </x:c>
      <x:c r="J83" s="15" t="str">
        <x:v>Automated</x:v>
      </x:c>
      <x:c r="K83" s="15" t="str">
        <x:v>P0</x:v>
      </x:c>
      <x:c r="L83" s="15" t="str">
        <x:v>Blocking</x:v>
      </x:c>
      <x:c r="M83" s="15" t="str">
        <x:v>L81-L97</x:v>
      </x:c>
      <x:c r="N83" s="15" t="str">
        <x:v>MODIFY</x:v>
      </x:c>
      <x:c r="O83" s="15" t="str">
        <x:v>Not Run</x:v>
      </x:c>
      <x:c r="P83" s="15" t="str"/>
    </x:row>
    <x:row r="84">
      <x:c r="A84" s="15" t="str">
        <x:v>LIFE-003</x:v>
      </x:c>
      <x:c r="B84" s="15" t="str">
        <x:v>Listings</x:v>
      </x:c>
      <x:c r="C84" s="15" t="str">
        <x:v>Lifecycle</x:v>
      </x:c>
      <x:c r="D84" s="15" t="str">
        <x:v>Owner hides approved listing</x:v>
      </x:c>
      <x:c r="E84" s="15" t="str">
        <x:v>Approved owned listing.</x:v>
      </x:c>
      <x:c r="F84" s="15" t="str">
        <x:v>Choose hide/unpublish.</x:v>
      </x:c>
      <x:c r="G84" s="15" t="str">
        <x:v>Listing disappears from public browse.</x:v>
      </x:c>
      <x:c r="H84" s="15" t="str">
        <x:v>Particular</x:v>
      </x:c>
      <x:c r="I84" s="15" t="str">
        <x:v>E2E</x:v>
      </x:c>
      <x:c r="J84" s="15" t="str">
        <x:v>Automated</x:v>
      </x:c>
      <x:c r="K84" s="15" t="str">
        <x:v>P0</x:v>
      </x:c>
      <x:c r="L84" s="15" t="str">
        <x:v>Blocking</x:v>
      </x:c>
      <x:c r="M84" s="15" t="str">
        <x:v>L81-L97</x:v>
      </x:c>
      <x:c r="N84" s="15" t="str">
        <x:v>MODIFY</x:v>
      </x:c>
      <x:c r="O84" s="15" t="str">
        <x:v>Not Run</x:v>
      </x:c>
      <x:c r="P84" s="15" t="str"/>
    </x:row>
    <x:row r="85">
      <x:c r="A85" s="15" t="str">
        <x:v>LIFE-004</x:v>
      </x:c>
      <x:c r="B85" s="15" t="str">
        <x:v>Listings</x:v>
      </x:c>
      <x:c r="C85" s="15" t="str">
        <x:v>Lifecycle</x:v>
      </x:c>
      <x:c r="D85" s="15" t="str">
        <x:v>Owner restores hidden valid Particular listing through normal rules</x:v>
      </x:c>
      <x:c r="E85" s="15" t="str">
        <x:v>Hidden owned listing.</x:v>
      </x:c>
      <x:c r="F85" s="15" t="str">
        <x:v>Restore.</x:v>
      </x:c>
      <x:c r="G85" s="15" t="str">
        <x:v>Listing returns through required publication/moderation behavior.</x:v>
      </x:c>
      <x:c r="H85" s="15" t="str">
        <x:v>Particular</x:v>
      </x:c>
      <x:c r="I85" s="15" t="str">
        <x:v>E2E</x:v>
      </x:c>
      <x:c r="J85" s="15" t="str">
        <x:v>Automated</x:v>
      </x:c>
      <x:c r="K85" s="15" t="str">
        <x:v>P1</x:v>
      </x:c>
      <x:c r="L85" s="15" t="str">
        <x:v>Blocking</x:v>
      </x:c>
      <x:c r="M85" s="15" t="str">
        <x:v>L81-L97</x:v>
      </x:c>
      <x:c r="N85" s="15" t="str">
        <x:v>MODIFY</x:v>
      </x:c>
      <x:c r="O85" s="15" t="str">
        <x:v>Not Run</x:v>
      </x:c>
      <x:c r="P85" s="15" t="str"/>
    </x:row>
    <x:row r="86">
      <x:c r="A86" s="15" t="str">
        <x:v>LIFE-005</x:v>
      </x:c>
      <x:c r="B86" s="15" t="str">
        <x:v>Listings</x:v>
      </x:c>
      <x:c r="C86" s="15" t="str">
        <x:v>Lifecycle</x:v>
      </x:c>
      <x:c r="D86" s="15" t="str">
        <x:v>Owner marks approved listing sold</x:v>
      </x:c>
      <x:c r="E86" s="15" t="str">
        <x:v>Approved owned listing.</x:v>
      </x:c>
      <x:c r="F86" s="15" t="str">
        <x:v>Mark sold.</x:v>
      </x:c>
      <x:c r="G86" s="15" t="str">
        <x:v>Listing status becomes sold; removed from normal catalog.</x:v>
      </x:c>
      <x:c r="H86" s="15" t="str">
        <x:v>Particular</x:v>
      </x:c>
      <x:c r="I86" s="15" t="str">
        <x:v>E2E</x:v>
      </x:c>
      <x:c r="J86" s="15" t="str">
        <x:v>Automated</x:v>
      </x:c>
      <x:c r="K86" s="15" t="str">
        <x:v>P0</x:v>
      </x:c>
      <x:c r="L86" s="15" t="str">
        <x:v>Blocking</x:v>
      </x:c>
      <x:c r="M86" s="15" t="str">
        <x:v>L81-L97</x:v>
      </x:c>
      <x:c r="N86" s="15" t="str">
        <x:v>MODIFY</x:v>
      </x:c>
      <x:c r="O86" s="15" t="str">
        <x:v>Not Run</x:v>
      </x:c>
      <x:c r="P86" s="15" t="str"/>
    </x:row>
    <x:row r="87">
      <x:c r="A87" s="15" t="str">
        <x:v>LIFE-006</x:v>
      </x:c>
      <x:c r="B87" s="15" t="str">
        <x:v>Listings</x:v>
      </x:c>
      <x:c r="C87" s="15" t="str">
        <x:v>Lifecycle</x:v>
      </x:c>
      <x:c r="D87" s="15" t="str">
        <x:v>Sold listing remains reachable by direct URL</x:v>
      </x:c>
      <x:c r="E87" s="15" t="str">
        <x:v>Sold listing with known slug.</x:v>
      </x:c>
      <x:c r="F87" s="15" t="str">
        <x:v>Open direct URL.</x:v>
      </x:c>
      <x:c r="G87" s="15" t="str">
        <x:v>Page renders with clear Vendido state.</x:v>
      </x:c>
      <x:c r="H87" s="15" t="str">
        <x:v>Anonymous</x:v>
      </x:c>
      <x:c r="I87" s="15" t="str">
        <x:v>E2E</x:v>
      </x:c>
      <x:c r="J87" s="15" t="str">
        <x:v>Automated</x:v>
      </x:c>
      <x:c r="K87" s="15" t="str">
        <x:v>P0</x:v>
      </x:c>
      <x:c r="L87" s="15" t="str">
        <x:v>Blocking</x:v>
      </x:c>
      <x:c r="M87" s="15" t="str">
        <x:v>L81-L97</x:v>
      </x:c>
      <x:c r="N87" s="15" t="str">
        <x:v>MODIFY</x:v>
      </x:c>
      <x:c r="O87" s="15" t="str">
        <x:v>Not Run</x:v>
      </x:c>
      <x:c r="P87" s="15" t="str"/>
    </x:row>
    <x:row r="88">
      <x:c r="A88" s="15" t="str">
        <x:v>LIFE-007</x:v>
      </x:c>
      <x:c r="B88" s="15" t="str">
        <x:v>Listings</x:v>
      </x:c>
      <x:c r="C88" s="15" t="str">
        <x:v>Lifecycle</x:v>
      </x:c>
      <x:c r="D88" s="15" t="str">
        <x:v>Sold listing is absent from normal search/catalog</x:v>
      </x:c>
      <x:c r="E88" s="15" t="str">
        <x:v>Sold listing exists.</x:v>
      </x:c>
      <x:c r="F88" s="15" t="str">
        <x:v>Search/browse matching catalog.</x:v>
      </x:c>
      <x:c r="G88" s="15" t="str">
        <x:v>Sold item is not returned as active inventory.</x:v>
      </x:c>
      <x:c r="H88" s="15" t="str">
        <x:v>Anonymous</x:v>
      </x:c>
      <x:c r="I88" s="15" t="str">
        <x:v>E2E</x:v>
      </x:c>
      <x:c r="J88" s="15" t="str">
        <x:v>Automated</x:v>
      </x:c>
      <x:c r="K88" s="15" t="str">
        <x:v>P0</x:v>
      </x:c>
      <x:c r="L88" s="15" t="str">
        <x:v>Blocking</x:v>
      </x:c>
      <x:c r="M88" s="15" t="str">
        <x:v>L81-L97</x:v>
      </x:c>
      <x:c r="N88" s="15" t="str">
        <x:v>MODIFY</x:v>
      </x:c>
      <x:c r="O88" s="15" t="str">
        <x:v>Not Run</x:v>
      </x:c>
      <x:c r="P88" s="15" t="str"/>
    </x:row>
    <x:row r="89">
      <x:c r="A89" s="15" t="str">
        <x:v>LIFE-008</x:v>
      </x:c>
      <x:c r="B89" s="15" t="str">
        <x:v>Listings</x:v>
      </x:c>
      <x:c r="C89" s="15" t="str">
        <x:v>Lifecycle</x:v>
      </x:c>
      <x:c r="D89" s="15" t="str">
        <x:v>Sold listing cannot be directly reactivated</x:v>
      </x:c>
      <x:c r="E89" s="15" t="str">
        <x:v>Sold owned listing.</x:v>
      </x:c>
      <x:c r="F89" s="15" t="str">
        <x:v>Attempt restore/status manipulation.</x:v>
      </x:c>
      <x:c r="G89" s="15" t="str">
        <x:v>Original historical record stays sold.</x:v>
      </x:c>
      <x:c r="H89" s="15" t="str">
        <x:v>Particular</x:v>
      </x:c>
      <x:c r="I89" s="15" t="str">
        <x:v>DB/RLS</x:v>
      </x:c>
      <x:c r="J89" s="15" t="str">
        <x:v>Automated</x:v>
      </x:c>
      <x:c r="K89" s="15" t="str">
        <x:v>P0</x:v>
      </x:c>
      <x:c r="L89" s="15" t="str">
        <x:v>Blocking</x:v>
      </x:c>
      <x:c r="M89" s="15" t="str">
        <x:v>L81-L97</x:v>
      </x:c>
      <x:c r="N89" s="15" t="str">
        <x:v>MODIFY</x:v>
      </x:c>
      <x:c r="O89" s="15" t="str">
        <x:v>Not Run</x:v>
      </x:c>
      <x:c r="P89" s="15" t="str"/>
    </x:row>
    <x:row r="90">
      <x:c r="A90" s="15" t="str">
        <x:v>LIFE-009</x:v>
      </x:c>
      <x:c r="B90" s="15" t="str">
        <x:v>Listings</x:v>
      </x:c>
      <x:c r="C90" s="15" t="str">
        <x:v>Lifecycle</x:v>
      </x:c>
      <x:c r="D90" s="15" t="str">
        <x:v>Relist copies sold listing</x:v>
      </x:c>
      <x:c r="E90" s="15" t="str">
        <x:v>Sold owned listing.</x:v>
      </x:c>
      <x:c r="F90" s="15" t="str">
        <x:v>Choose Relistar.</x:v>
      </x:c>
      <x:c r="G90" s="15" t="str">
        <x:v>New listing/draft-copy created; original sold row unchanged.</x:v>
      </x:c>
      <x:c r="H90" s="15" t="str">
        <x:v>Particular</x:v>
      </x:c>
      <x:c r="I90" s="15" t="str">
        <x:v>E2E</x:v>
      </x:c>
      <x:c r="J90" s="15" t="str">
        <x:v>Automated</x:v>
      </x:c>
      <x:c r="K90" s="15" t="str">
        <x:v>P0</x:v>
      </x:c>
      <x:c r="L90" s="15" t="str">
        <x:v>Blocking</x:v>
      </x:c>
      <x:c r="M90" s="15" t="str">
        <x:v>L81-L97</x:v>
      </x:c>
      <x:c r="N90" s="15" t="str">
        <x:v>MODIFY</x:v>
      </x:c>
      <x:c r="O90" s="15" t="str">
        <x:v>Not Run</x:v>
      </x:c>
      <x:c r="P90" s="15" t="str"/>
    </x:row>
    <x:row r="91">
      <x:c r="A91" s="15" t="str">
        <x:v>LIFE-010</x:v>
      </x:c>
      <x:c r="B91" s="15" t="str">
        <x:v>Listings</x:v>
      </x:c>
      <x:c r="C91" s="15" t="str">
        <x:v>Lifecycle</x:v>
      </x:c>
      <x:c r="D91" s="15" t="str">
        <x:v>Relisted Particular copy requires moderation</x:v>
      </x:c>
      <x:c r="E91" s="15" t="str">
        <x:v>Relisted copy valid.</x:v>
      </x:c>
      <x:c r="F91" s="15" t="str">
        <x:v>Submit relisted copy.</x:v>
      </x:c>
      <x:c r="G91" s="15" t="str">
        <x:v>New record enters pending, not approved.</x:v>
      </x:c>
      <x:c r="H91" s="15" t="str">
        <x:v>Particular</x:v>
      </x:c>
      <x:c r="I91" s="15" t="str">
        <x:v>E2E</x:v>
      </x:c>
      <x:c r="J91" s="15" t="str">
        <x:v>Automated</x:v>
      </x:c>
      <x:c r="K91" s="15" t="str">
        <x:v>P0</x:v>
      </x:c>
      <x:c r="L91" s="15" t="str">
        <x:v>Blocking</x:v>
      </x:c>
      <x:c r="M91" s="15" t="str">
        <x:v>L81-L97</x:v>
      </x:c>
      <x:c r="N91" s="15" t="str">
        <x:v>MODIFY</x:v>
      </x:c>
      <x:c r="O91" s="15" t="str">
        <x:v>Not Run</x:v>
      </x:c>
      <x:c r="P91" s="15" t="str"/>
    </x:row>
    <x:row r="92">
      <x:c r="A92" s="15" t="str">
        <x:v>LIFE-011</x:v>
      </x:c>
      <x:c r="B92" s="15" t="str">
        <x:v>Listings</x:v>
      </x:c>
      <x:c r="C92" s="15" t="str">
        <x:v>Lifecycle</x:v>
      </x:c>
      <x:c r="D92" s="15" t="str">
        <x:v>Relisted normal Tienda copy requires moderation</x:v>
      </x:c>
      <x:c r="E92" s="15" t="str">
        <x:v>Normal Tienda sold listing.</x:v>
      </x:c>
      <x:c r="F92" s="15" t="str">
        <x:v>Relist.</x:v>
      </x:c>
      <x:c r="G92" s="15" t="str">
        <x:v>Copy enters pending.</x:v>
      </x:c>
      <x:c r="H92" s="15" t="str">
        <x:v>Store Owner</x:v>
      </x:c>
      <x:c r="I92" s="15" t="str">
        <x:v>E2E</x:v>
      </x:c>
      <x:c r="J92" s="15" t="str">
        <x:v>Automated</x:v>
      </x:c>
      <x:c r="K92" s="15" t="str">
        <x:v>P0</x:v>
      </x:c>
      <x:c r="L92" s="15" t="str">
        <x:v>Blocking</x:v>
      </x:c>
      <x:c r="M92" s="15" t="str">
        <x:v>L81-L97</x:v>
      </x:c>
      <x:c r="N92" s="15" t="str">
        <x:v>MODIFY</x:v>
      </x:c>
      <x:c r="O92" s="15" t="str">
        <x:v>Not Run</x:v>
      </x:c>
      <x:c r="P92" s="15" t="str"/>
    </x:row>
    <x:row r="93">
      <x:c r="A93" s="15" t="str">
        <x:v>LIFE-012</x:v>
      </x:c>
      <x:c r="B93" s="15" t="str">
        <x:v>Listings</x:v>
      </x:c>
      <x:c r="C93" s="15" t="str">
        <x:v>Lifecycle</x:v>
      </x:c>
      <x:c r="D93" s="15" t="str">
        <x:v>Relisted Tienda Verificada copy can publish directly</x:v>
      </x:c>
      <x:c r="E93" s="15" t="str">
        <x:v>Verified store sold listing.</x:v>
      </x:c>
      <x:c r="F93" s="15" t="str">
        <x:v>Relist valid copy.</x:v>
      </x:c>
      <x:c r="G93" s="15" t="str">
        <x:v>New copy can publish approved directly.</x:v>
      </x:c>
      <x:c r="H93" s="15" t="str">
        <x:v>Store Owner</x:v>
      </x:c>
      <x:c r="I93" s="15" t="str">
        <x:v>E2E</x:v>
      </x:c>
      <x:c r="J93" s="15" t="str">
        <x:v>Automated</x:v>
      </x:c>
      <x:c r="K93" s="15" t="str">
        <x:v>P0</x:v>
      </x:c>
      <x:c r="L93" s="15" t="str">
        <x:v>Blocking</x:v>
      </x:c>
      <x:c r="M93" s="15" t="str">
        <x:v>L81-L97</x:v>
      </x:c>
      <x:c r="N93" s="15" t="str">
        <x:v>MODIFY</x:v>
      </x:c>
      <x:c r="O93" s="15" t="str">
        <x:v>Not Run</x:v>
      </x:c>
      <x:c r="P93" s="15" t="str"/>
    </x:row>
    <x:row r="94">
      <x:c r="A94" s="15" t="str">
        <x:v>LIFE-013</x:v>
      </x:c>
      <x:c r="B94" s="15" t="str">
        <x:v>Listings</x:v>
      </x:c>
      <x:c r="C94" s="15" t="str">
        <x:v>Lifecycle</x:v>
      </x:c>
      <x:c r="D94" s="15" t="str">
        <x:v>Historical sold record preserves transaction/review linkage</x:v>
      </x:c>
      <x:c r="E94" s="15" t="str">
        <x:v>Sold listing with verified transaction/reviews.</x:v>
      </x:c>
      <x:c r="F94" s="15" t="str">
        <x:v>Relist copy.</x:v>
      </x:c>
      <x:c r="G94" s="15" t="str">
        <x:v>Old listing retains historical relations; copy has new identity.</x:v>
      </x:c>
      <x:c r="H94" s="15" t="str">
        <x:v>Admin</x:v>
      </x:c>
      <x:c r="I94" s="15" t="str">
        <x:v>DB</x:v>
      </x:c>
      <x:c r="J94" s="15" t="str">
        <x:v>Automated</x:v>
      </x:c>
      <x:c r="K94" s="15" t="str">
        <x:v>P0</x:v>
      </x:c>
      <x:c r="L94" s="15" t="str">
        <x:v>Blocking</x:v>
      </x:c>
      <x:c r="M94" s="15" t="str">
        <x:v>L81-L97</x:v>
      </x:c>
      <x:c r="N94" s="15" t="str">
        <x:v>MODIFY</x:v>
      </x:c>
      <x:c r="O94" s="15" t="str">
        <x:v>Not Run</x:v>
      </x:c>
      <x:c r="P94" s="15" t="str"/>
    </x:row>
    <x:row r="95">
      <x:c r="A95" s="15" t="str">
        <x:v>LIFE-014</x:v>
      </x:c>
      <x:c r="B95" s="15" t="str">
        <x:v>Listings</x:v>
      </x:c>
      <x:c r="C95" s="15" t="str">
        <x:v>Lifecycle</x:v>
      </x:c>
      <x:c r="D95" s="15" t="str">
        <x:v>No normal hard-delete control exists for seller</x:v>
      </x:c>
      <x:c r="E95" s="15" t="str">
        <x:v>Owned listing.</x:v>
      </x:c>
      <x:c r="F95" s="15" t="str">
        <x:v>Inspect listing actions.</x:v>
      </x:c>
      <x:c r="G95" s="15" t="str">
        <x:v>Hide/sold/relist exist as appropriate; no destructive hard delete.</x:v>
      </x:c>
      <x:c r="H95" s="15" t="str">
        <x:v>Particular</x:v>
      </x:c>
      <x:c r="I95" s="15" t="str">
        <x:v>Manual</x:v>
      </x:c>
      <x:c r="J95" s="15" t="str">
        <x:v>Manual</x:v>
      </x:c>
      <x:c r="K95" s="15" t="str">
        <x:v>P1</x:v>
      </x:c>
      <x:c r="L95" s="15" t="str">
        <x:v>Blocking</x:v>
      </x:c>
      <x:c r="M95" s="15" t="str">
        <x:v>L81-L97</x:v>
      </x:c>
      <x:c r="N95" s="15" t="str">
        <x:v>MODIFY</x:v>
      </x:c>
      <x:c r="O95" s="15" t="str">
        <x:v>Not Run</x:v>
      </x:c>
      <x:c r="P95" s="15" t="str"/>
    </x:row>
    <x:row r="96">
      <x:c r="A96" s="15" t="str">
        <x:v>REV-001</x:v>
      </x:c>
      <x:c r="B96" s="15" t="str">
        <x:v>Listings</x:v>
      </x:c>
      <x:c r="C96" s="15" t="str">
        <x:v>Approved listing revisions</x:v>
      </x:c>
      <x:c r="D96" s="15" t="str">
        <x:v>Immediate price edit applies without moderation</x:v>
      </x:c>
      <x:c r="E96" s="15" t="str">
        <x:v>Approved Particular listing.</x:v>
      </x:c>
      <x:c r="F96" s="15" t="str">
        <x:v>Change price only.</x:v>
      </x:c>
      <x:c r="G96" s="15" t="str">
        <x:v>Public approved listing reflects new price immediately.</x:v>
      </x:c>
      <x:c r="H96" s="15" t="str">
        <x:v>Particular</x:v>
      </x:c>
      <x:c r="I96" s="15" t="str">
        <x:v>E2E</x:v>
      </x:c>
      <x:c r="J96" s="15" t="str">
        <x:v>Automated</x:v>
      </x:c>
      <x:c r="K96" s="15" t="str">
        <x:v>P0</x:v>
      </x:c>
      <x:c r="L96" s="15" t="str">
        <x:v>Blocking</x:v>
      </x:c>
      <x:c r="M96" s="15" t="str">
        <x:v>L117-L137</x:v>
      </x:c>
      <x:c r="N96" s="15" t="str">
        <x:v>BUILD</x:v>
      </x:c>
      <x:c r="O96" s="15" t="str">
        <x:v>Not Run</x:v>
      </x:c>
      <x:c r="P96" s="15" t="str"/>
    </x:row>
    <x:row r="97">
      <x:c r="A97" s="15" t="str">
        <x:v>REV-002</x:v>
      </x:c>
      <x:c r="B97" s="15" t="str">
        <x:v>Listings</x:v>
      </x:c>
      <x:c r="C97" s="15" t="str">
        <x:v>Approved listing revisions</x:v>
      </x:c>
      <x:c r="D97" s="15" t="str">
        <x:v>Immediate description edit applies without moderation</x:v>
      </x:c>
      <x:c r="E97" s="15" t="str">
        <x:v>Approved Particular listing.</x:v>
      </x:c>
      <x:c r="F97" s="15" t="str">
        <x:v>Change description only.</x:v>
      </x:c>
      <x:c r="G97" s="15" t="str">
        <x:v>Public listing updates without pending revision.</x:v>
      </x:c>
      <x:c r="H97" s="15" t="str">
        <x:v>Particular</x:v>
      </x:c>
      <x:c r="I97" s="15" t="str">
        <x:v>E2E</x:v>
      </x:c>
      <x:c r="J97" s="15" t="str">
        <x:v>Automated</x:v>
      </x:c>
      <x:c r="K97" s="15" t="str">
        <x:v>P1</x:v>
      </x:c>
      <x:c r="L97" s="15" t="str">
        <x:v>Blocking</x:v>
      </x:c>
      <x:c r="M97" s="15" t="str">
        <x:v>L117-L137</x:v>
      </x:c>
      <x:c r="N97" s="15" t="str">
        <x:v>BUILD</x:v>
      </x:c>
      <x:c r="O97" s="15" t="str">
        <x:v>Not Run</x:v>
      </x:c>
      <x:c r="P97" s="15" t="str"/>
    </x:row>
    <x:row r="98">
      <x:c r="A98" s="15" t="str">
        <x:v>REV-003</x:v>
      </x:c>
      <x:c r="B98" s="15" t="str">
        <x:v>Listings</x:v>
      </x:c>
      <x:c r="C98" s="15" t="str">
        <x:v>Approved listing revisions</x:v>
      </x:c>
      <x:c r="D98" s="15" t="str">
        <x:v>Immediate location edit applies without moderation</x:v>
      </x:c>
      <x:c r="E98" s="15" t="str">
        <x:v>Approved Particular listing.</x:v>
      </x:c>
      <x:c r="F98" s="15" t="str">
        <x:v>Change location only.</x:v>
      </x:c>
      <x:c r="G98" s="15" t="str">
        <x:v>Public listing updates directly.</x:v>
      </x:c>
      <x:c r="H98" s="15" t="str">
        <x:v>Particular</x:v>
      </x:c>
      <x:c r="I98" s="15" t="str">
        <x:v>E2E</x:v>
      </x:c>
      <x:c r="J98" s="15" t="str">
        <x:v>Automated</x:v>
      </x:c>
      <x:c r="K98" s="15" t="str">
        <x:v>P1</x:v>
      </x:c>
      <x:c r="L98" s="15" t="str">
        <x:v>Blocking</x:v>
      </x:c>
      <x:c r="M98" s="15" t="str">
        <x:v>L117-L137</x:v>
      </x:c>
      <x:c r="N98" s="15" t="str">
        <x:v>BUILD</x:v>
      </x:c>
      <x:c r="O98" s="15" t="str">
        <x:v>Not Run</x:v>
      </x:c>
      <x:c r="P98" s="15" t="str"/>
    </x:row>
    <x:row r="99">
      <x:c r="A99" s="15" t="str">
        <x:v>REV-004</x:v>
      </x:c>
      <x:c r="B99" s="15" t="str">
        <x:v>Listings</x:v>
      </x:c>
      <x:c r="C99" s="15" t="str">
        <x:v>Approved listing revisions</x:v>
      </x:c>
      <x:c r="D99" s="15" t="str">
        <x:v>Immediate attribute edit applies without moderation</x:v>
      </x:c>
      <x:c r="E99" s="15" t="str">
        <x:v>Approved Particular listing.</x:v>
      </x:c>
      <x:c r="F99" s="15" t="str">
        <x:v>Change detailed attributes only.</x:v>
      </x:c>
      <x:c r="G99" s="15" t="str">
        <x:v>Public listing updates directly.</x:v>
      </x:c>
      <x:c r="H99" s="15" t="str">
        <x:v>Particular</x:v>
      </x:c>
      <x:c r="I99" s="15" t="str">
        <x:v>E2E</x:v>
      </x:c>
      <x:c r="J99" s="15" t="str">
        <x:v>Automated</x:v>
      </x:c>
      <x:c r="K99" s="15" t="str">
        <x:v>P1</x:v>
      </x:c>
      <x:c r="L99" s="15" t="str">
        <x:v>Blocking</x:v>
      </x:c>
      <x:c r="M99" s="15" t="str">
        <x:v>L117-L137</x:v>
      </x:c>
      <x:c r="N99" s="15" t="str">
        <x:v>BUILD</x:v>
      </x:c>
      <x:c r="O99" s="15" t="str">
        <x:v>Not Run</x:v>
      </x:c>
      <x:c r="P99" s="15" t="str"/>
    </x:row>
    <x:row r="100">
      <x:c r="A100" s="15" t="str">
        <x:v>REV-005</x:v>
      </x:c>
      <x:c r="B100" s="15" t="str">
        <x:v>Listings</x:v>
      </x:c>
      <x:c r="C100" s="15" t="str">
        <x:v>Approved listing revisions</x:v>
      </x:c>
      <x:c r="D100" s="15" t="str">
        <x:v>Title edit creates pending revision for Particular</x:v>
      </x:c>
      <x:c r="E100" s="15" t="str">
        <x:v>Approved listing.</x:v>
      </x:c>
      <x:c r="F100" s="15" t="str">
        <x:v>Change title.</x:v>
      </x:c>
      <x:c r="G100" s="15" t="str">
        <x:v>Live version remains unchanged; pending revision stores new title.</x:v>
      </x:c>
      <x:c r="H100" s="15" t="str">
        <x:v>Particular</x:v>
      </x:c>
      <x:c r="I100" s="15" t="str">
        <x:v>E2E</x:v>
      </x:c>
      <x:c r="J100" s="15" t="str">
        <x:v>Automated</x:v>
      </x:c>
      <x:c r="K100" s="15" t="str">
        <x:v>P0</x:v>
      </x:c>
      <x:c r="L100" s="15" t="str">
        <x:v>Blocking</x:v>
      </x:c>
      <x:c r="M100" s="15" t="str">
        <x:v>L117-L137</x:v>
      </x:c>
      <x:c r="N100" s="15" t="str">
        <x:v>BUILD</x:v>
      </x:c>
      <x:c r="O100" s="15" t="str">
        <x:v>Not Run</x:v>
      </x:c>
      <x:c r="P100" s="15" t="str"/>
    </x:row>
    <x:row r="101">
      <x:c r="A101" s="15" t="str">
        <x:v>REV-006</x:v>
      </x:c>
      <x:c r="B101" s="15" t="str">
        <x:v>Listings</x:v>
      </x:c>
      <x:c r="C101" s="15" t="str">
        <x:v>Approved listing revisions</x:v>
      </x:c>
      <x:c r="D101" s="15" t="str">
        <x:v>Category edit creates pending revision</x:v>
      </x:c>
      <x:c r="E101" s="15" t="str">
        <x:v>Approved listing.</x:v>
      </x:c>
      <x:c r="F101" s="15" t="str">
        <x:v>Change category.</x:v>
      </x:c>
      <x:c r="G101" s="15" t="str">
        <x:v>Old approved version remains live while revision awaits review.</x:v>
      </x:c>
      <x:c r="H101" s="15" t="str">
        <x:v>Particular</x:v>
      </x:c>
      <x:c r="I101" s="15" t="str">
        <x:v>E2E</x:v>
      </x:c>
      <x:c r="J101" s="15" t="str">
        <x:v>Automated</x:v>
      </x:c>
      <x:c r="K101" s="15" t="str">
        <x:v>P0</x:v>
      </x:c>
      <x:c r="L101" s="15" t="str">
        <x:v>Blocking</x:v>
      </x:c>
      <x:c r="M101" s="15" t="str">
        <x:v>L117-L137</x:v>
      </x:c>
      <x:c r="N101" s="15" t="str">
        <x:v>BUILD</x:v>
      </x:c>
      <x:c r="O101" s="15" t="str">
        <x:v>Not Run</x:v>
      </x:c>
      <x:c r="P101" s="15" t="str"/>
    </x:row>
    <x:row r="102">
      <x:c r="A102" s="15" t="str">
        <x:v>REV-007</x:v>
      </x:c>
      <x:c r="B102" s="15" t="str">
        <x:v>Listings</x:v>
      </x:c>
      <x:c r="C102" s="15" t="str">
        <x:v>Approved listing revisions</x:v>
      </x:c>
      <x:c r="D102" s="15" t="str">
        <x:v>Instrument type edit creates pending revision</x:v>
      </x:c>
      <x:c r="E102" s="15" t="str">
        <x:v>Approved listing.</x:v>
      </x:c>
      <x:c r="F102" s="15" t="str">
        <x:v>Change instrument type.</x:v>
      </x:c>
      <x:c r="G102" s="15" t="str">
        <x:v>Old approved version remains live.</x:v>
      </x:c>
      <x:c r="H102" s="15" t="str">
        <x:v>Particular</x:v>
      </x:c>
      <x:c r="I102" s="15" t="str">
        <x:v>E2E</x:v>
      </x:c>
      <x:c r="J102" s="15" t="str">
        <x:v>Automated</x:v>
      </x:c>
      <x:c r="K102" s="15" t="str">
        <x:v>P0</x:v>
      </x:c>
      <x:c r="L102" s="15" t="str">
        <x:v>Blocking</x:v>
      </x:c>
      <x:c r="M102" s="15" t="str">
        <x:v>L117-L137</x:v>
      </x:c>
      <x:c r="N102" s="15" t="str">
        <x:v>BUILD</x:v>
      </x:c>
      <x:c r="O102" s="15" t="str">
        <x:v>Not Run</x:v>
      </x:c>
      <x:c r="P102" s="15" t="str"/>
    </x:row>
    <x:row r="103">
      <x:c r="A103" s="15" t="str">
        <x:v>REV-008</x:v>
      </x:c>
      <x:c r="B103" s="15" t="str">
        <x:v>Listings</x:v>
      </x:c>
      <x:c r="C103" s="15" t="str">
        <x:v>Approved listing revisions</x:v>
      </x:c>
      <x:c r="D103" s="15" t="str">
        <x:v>Brand edit creates pending revision</x:v>
      </x:c>
      <x:c r="E103" s="15" t="str">
        <x:v>Approved listing.</x:v>
      </x:c>
      <x:c r="F103" s="15" t="str">
        <x:v>Change brand.</x:v>
      </x:c>
      <x:c r="G103" s="15" t="str">
        <x:v>Pending revision created; live row not prematurely mutated.</x:v>
      </x:c>
      <x:c r="H103" s="15" t="str">
        <x:v>Particular</x:v>
      </x:c>
      <x:c r="I103" s="15" t="str">
        <x:v>E2E</x:v>
      </x:c>
      <x:c r="J103" s="15" t="str">
        <x:v>Automated</x:v>
      </x:c>
      <x:c r="K103" s="15" t="str">
        <x:v>P0</x:v>
      </x:c>
      <x:c r="L103" s="15" t="str">
        <x:v>Blocking</x:v>
      </x:c>
      <x:c r="M103" s="15" t="str">
        <x:v>L117-L137</x:v>
      </x:c>
      <x:c r="N103" s="15" t="str">
        <x:v>BUILD</x:v>
      </x:c>
      <x:c r="O103" s="15" t="str">
        <x:v>Not Run</x:v>
      </x:c>
      <x:c r="P103" s="15" t="str"/>
    </x:row>
    <x:row r="104">
      <x:c r="A104" s="15" t="str">
        <x:v>REV-009</x:v>
      </x:c>
      <x:c r="B104" s="15" t="str">
        <x:v>Listings</x:v>
      </x:c>
      <x:c r="C104" s="15" t="str">
        <x:v>Approved listing revisions</x:v>
      </x:c>
      <x:c r="D104" s="15" t="str">
        <x:v>Model edit creates pending revision</x:v>
      </x:c>
      <x:c r="E104" s="15" t="str">
        <x:v>Approved listing.</x:v>
      </x:c>
      <x:c r="F104" s="15" t="str">
        <x:v>Change model.</x:v>
      </x:c>
      <x:c r="G104" s="15" t="str">
        <x:v>Pending revision created.</x:v>
      </x:c>
      <x:c r="H104" s="15" t="str">
        <x:v>Particular</x:v>
      </x:c>
      <x:c r="I104" s="15" t="str">
        <x:v>E2E</x:v>
      </x:c>
      <x:c r="J104" s="15" t="str">
        <x:v>Automated</x:v>
      </x:c>
      <x:c r="K104" s="15" t="str">
        <x:v>P0</x:v>
      </x:c>
      <x:c r="L104" s="15" t="str">
        <x:v>Blocking</x:v>
      </x:c>
      <x:c r="M104" s="15" t="str">
        <x:v>L117-L137</x:v>
      </x:c>
      <x:c r="N104" s="15" t="str">
        <x:v>BUILD</x:v>
      </x:c>
      <x:c r="O104" s="15" t="str">
        <x:v>Not Run</x:v>
      </x:c>
      <x:c r="P104" s="15" t="str"/>
    </x:row>
    <x:row r="105">
      <x:c r="A105" s="15" t="str">
        <x:v>REV-010</x:v>
      </x:c>
      <x:c r="B105" s="15" t="str">
        <x:v>Listings</x:v>
      </x:c>
      <x:c r="C105" s="15" t="str">
        <x:v>Approved listing revisions</x:v>
      </x:c>
      <x:c r="D105" s="15" t="str">
        <x:v>Photo edit creates pending revision</x:v>
      </x:c>
      <x:c r="E105" s="15" t="str">
        <x:v>Approved listing.</x:v>
      </x:c>
      <x:c r="F105" s="15" t="str">
        <x:v>Replace/reorder moderated photo set.</x:v>
      </x:c>
      <x:c r="G105" s="15" t="str">
        <x:v>Public approved photo version stays live pending review.</x:v>
      </x:c>
      <x:c r="H105" s="15" t="str">
        <x:v>Particular</x:v>
      </x:c>
      <x:c r="I105" s="15" t="str">
        <x:v>E2E</x:v>
      </x:c>
      <x:c r="J105" s="15" t="str">
        <x:v>Automated</x:v>
      </x:c>
      <x:c r="K105" s="15" t="str">
        <x:v>P0</x:v>
      </x:c>
      <x:c r="L105" s="15" t="str">
        <x:v>Blocking</x:v>
      </x:c>
      <x:c r="M105" s="15" t="str">
        <x:v>L117-L137</x:v>
      </x:c>
      <x:c r="N105" s="15" t="str">
        <x:v>BUILD</x:v>
      </x:c>
      <x:c r="O105" s="15" t="str">
        <x:v>Not Run</x:v>
      </x:c>
      <x:c r="P105" s="15" t="str"/>
    </x:row>
    <x:row r="106">
      <x:c r="A106" s="15" t="str">
        <x:v>REV-011</x:v>
      </x:c>
      <x:c r="B106" s="15" t="str">
        <x:v>Listings</x:v>
      </x:c>
      <x:c r="C106" s="15" t="str">
        <x:v>Approved listing revisions</x:v>
      </x:c>
      <x:c r="D106" s="15" t="str">
        <x:v>Mixed immediate + moderated edit is handled consistently</x:v>
      </x:c>
      <x:c r="E106" s="15" t="str">
        <x:v>Approved listing.</x:v>
      </x:c>
      <x:c r="F106" s="15" t="str">
        <x:v>Change price and title in one save.</x:v>
      </x:c>
      <x:c r="G106" s="15" t="str">
        <x:v>Moderated fields do not leak live before approval; defined immediate-field behavior remains consistent/atomic.</x:v>
      </x:c>
      <x:c r="H106" s="15" t="str">
        <x:v>Particular</x:v>
      </x:c>
      <x:c r="I106" s="15" t="str">
        <x:v>Integration</x:v>
      </x:c>
      <x:c r="J106" s="15" t="str">
        <x:v>Automated</x:v>
      </x:c>
      <x:c r="K106" s="15" t="str">
        <x:v>P0</x:v>
      </x:c>
      <x:c r="L106" s="15" t="str">
        <x:v>Blocking</x:v>
      </x:c>
      <x:c r="M106" s="15" t="str">
        <x:v>L117-L137</x:v>
      </x:c>
      <x:c r="N106" s="15" t="str">
        <x:v>BUILD</x:v>
      </x:c>
      <x:c r="O106" s="15" t="str">
        <x:v>Not Run</x:v>
      </x:c>
      <x:c r="P106" s="15" t="str"/>
    </x:row>
    <x:row r="107">
      <x:c r="A107" s="15" t="str">
        <x:v>REV-012</x:v>
      </x:c>
      <x:c r="B107" s="15" t="str">
        <x:v>Listings</x:v>
      </x:c>
      <x:c r="C107" s="15" t="str">
        <x:v>Approved listing revisions</x:v>
      </x:c>
      <x:c r="D107" s="15" t="str">
        <x:v>Admin approves pending revision</x:v>
      </x:c>
      <x:c r="E107" s="15" t="str">
        <x:v>Pending revision exists.</x:v>
      </x:c>
      <x:c r="F107" s="15" t="str">
        <x:v>Admin reviews and approves.</x:v>
      </x:c>
      <x:c r="G107" s="15" t="str">
        <x:v>Approved public version atomically adopts revision; revision history retained.</x:v>
      </x:c>
      <x:c r="H107" s="15" t="str">
        <x:v>Admin</x:v>
      </x:c>
      <x:c r="I107" s="15" t="str">
        <x:v>E2E</x:v>
      </x:c>
      <x:c r="J107" s="15" t="str">
        <x:v>Automated</x:v>
      </x:c>
      <x:c r="K107" s="15" t="str">
        <x:v>P0</x:v>
      </x:c>
      <x:c r="L107" s="15" t="str">
        <x:v>Blocking</x:v>
      </x:c>
      <x:c r="M107" s="15" t="str">
        <x:v>L117-L137</x:v>
      </x:c>
      <x:c r="N107" s="15" t="str">
        <x:v>BUILD</x:v>
      </x:c>
      <x:c r="O107" s="15" t="str">
        <x:v>Not Run</x:v>
      </x:c>
      <x:c r="P107" s="15" t="str"/>
    </x:row>
    <x:row r="108">
      <x:c r="A108" s="15" t="str">
        <x:v>REV-013</x:v>
      </x:c>
      <x:c r="B108" s="15" t="str">
        <x:v>Listings</x:v>
      </x:c>
      <x:c r="C108" s="15" t="str">
        <x:v>Approved listing revisions</x:v>
      </x:c>
      <x:c r="D108" s="15" t="str">
        <x:v>Admin rejects pending revision</x:v>
      </x:c>
      <x:c r="E108" s="15" t="str">
        <x:v>Pending revision exists.</x:v>
      </x:c>
      <x:c r="F108" s="15" t="str">
        <x:v>Reject with reason.</x:v>
      </x:c>
      <x:c r="G108" s="15" t="str">
        <x:v>Old approved version remains public; owner sees reason; revision marked rejected.</x:v>
      </x:c>
      <x:c r="H108" s="15" t="str">
        <x:v>Admin</x:v>
      </x:c>
      <x:c r="I108" s="15" t="str">
        <x:v>E2E</x:v>
      </x:c>
      <x:c r="J108" s="15" t="str">
        <x:v>Automated</x:v>
      </x:c>
      <x:c r="K108" s="15" t="str">
        <x:v>P0</x:v>
      </x:c>
      <x:c r="L108" s="15" t="str">
        <x:v>Blocking</x:v>
      </x:c>
      <x:c r="M108" s="15" t="str">
        <x:v>L117-L137</x:v>
      </x:c>
      <x:c r="N108" s="15" t="str">
        <x:v>BUILD</x:v>
      </x:c>
      <x:c r="O108" s="15" t="str">
        <x:v>Not Run</x:v>
      </x:c>
      <x:c r="P108" s="15" t="str"/>
    </x:row>
    <x:row r="109">
      <x:c r="A109" s="15" t="str">
        <x:v>REV-014</x:v>
      </x:c>
      <x:c r="B109" s="15" t="str">
        <x:v>Listings</x:v>
      </x:c>
      <x:c r="C109" s="15" t="str">
        <x:v>Approved listing revisions</x:v>
      </x:c>
      <x:c r="D109" s="15" t="str">
        <x:v>Second moderated edit while revision pending is safely handled</x:v>
      </x:c>
      <x:c r="E109" s="15" t="str">
        <x:v>Pending revision exists.</x:v>
      </x:c>
      <x:c r="F109" s="15" t="str">
        <x:v>Owner attempts another moderated edit.</x:v>
      </x:c>
      <x:c r="G109" s="15" t="str">
        <x:v>System follows defined safe behavior without overwriting live approved state or losing revision history.</x:v>
      </x:c>
      <x:c r="H109" s="15" t="str">
        <x:v>Particular</x:v>
      </x:c>
      <x:c r="I109" s="15" t="str">
        <x:v>Integration</x:v>
      </x:c>
      <x:c r="J109" s="15" t="str">
        <x:v>Automated</x:v>
      </x:c>
      <x:c r="K109" s="15" t="str">
        <x:v>P0</x:v>
      </x:c>
      <x:c r="L109" s="15" t="str">
        <x:v>Blocking</x:v>
      </x:c>
      <x:c r="M109" s="15" t="str">
        <x:v>L117-L137</x:v>
      </x:c>
      <x:c r="N109" s="15" t="str">
        <x:v>BUILD</x:v>
      </x:c>
      <x:c r="O109" s="15" t="str">
        <x:v>Not Run</x:v>
      </x:c>
      <x:c r="P109" s="15" t="str"/>
    </x:row>
    <x:row r="110">
      <x:c r="A110" s="15" t="str">
        <x:v>REV-015</x:v>
      </x:c>
      <x:c r="B110" s="15" t="str">
        <x:v>Listings</x:v>
      </x:c>
      <x:c r="C110" s="15" t="str">
        <x:v>Approved listing revisions</x:v>
      </x:c>
      <x:c r="D110" s="15" t="str">
        <x:v>Normal Tienda uses same moderated revision rules</x:v>
      </x:c>
      <x:c r="E110" s="15" t="str">
        <x:v>Approved normal-store listing.</x:v>
      </x:c>
      <x:c r="F110" s="15" t="str">
        <x:v>Change moderated field.</x:v>
      </x:c>
      <x:c r="G110" s="15" t="str">
        <x:v>Old version remains public pending admin review.</x:v>
      </x:c>
      <x:c r="H110" s="15" t="str">
        <x:v>Store Owner</x:v>
      </x:c>
      <x:c r="I110" s="15" t="str">
        <x:v>E2E</x:v>
      </x:c>
      <x:c r="J110" s="15" t="str">
        <x:v>Automated</x:v>
      </x:c>
      <x:c r="K110" s="15" t="str">
        <x:v>P0</x:v>
      </x:c>
      <x:c r="L110" s="15" t="str">
        <x:v>Blocking</x:v>
      </x:c>
      <x:c r="M110" s="15" t="str">
        <x:v>L117-L137</x:v>
      </x:c>
      <x:c r="N110" s="15" t="str">
        <x:v>BUILD</x:v>
      </x:c>
      <x:c r="O110" s="15" t="str">
        <x:v>Not Run</x:v>
      </x:c>
      <x:c r="P110" s="15" t="str"/>
    </x:row>
    <x:row r="111">
      <x:c r="A111" s="15" t="str">
        <x:v>REV-016</x:v>
      </x:c>
      <x:c r="B111" s="15" t="str">
        <x:v>Listings</x:v>
      </x:c>
      <x:c r="C111" s="15" t="str">
        <x:v>Approved listing revisions</x:v>
      </x:c>
      <x:c r="D111" s="15" t="str">
        <x:v>Tienda Verificada bypasses moderated revision</x:v>
      </x:c>
      <x:c r="E111" s="15" t="str">
        <x:v>Verified-store listing.</x:v>
      </x:c>
      <x:c r="F111" s="15" t="str">
        <x:v>Edit title/photos.</x:v>
      </x:c>
      <x:c r="G111" s="15" t="str">
        <x:v>Qualifying edit applies directly; no listing-by-listing revision approval required.</x:v>
      </x:c>
      <x:c r="H111" s="15" t="str">
        <x:v>Store Owner</x:v>
      </x:c>
      <x:c r="I111" s="15" t="str">
        <x:v>E2E</x:v>
      </x:c>
      <x:c r="J111" s="15" t="str">
        <x:v>Automated</x:v>
      </x:c>
      <x:c r="K111" s="15" t="str">
        <x:v>P0</x:v>
      </x:c>
      <x:c r="L111" s="15" t="str">
        <x:v>Blocking</x:v>
      </x:c>
      <x:c r="M111" s="15" t="str">
        <x:v>L117-L137</x:v>
      </x:c>
      <x:c r="N111" s="15" t="str">
        <x:v>BUILD</x:v>
      </x:c>
      <x:c r="O111" s="15" t="str">
        <x:v>Not Run</x:v>
      </x:c>
      <x:c r="P111" s="15" t="str"/>
    </x:row>
    <x:row r="112">
      <x:c r="A112" s="15" t="str">
        <x:v>DASH-001</x:v>
      </x:c>
      <x:c r="B112" s="15" t="str">
        <x:v>Particular Dashboard</x:v>
      </x:c>
      <x:c r="C112" s="15" t="str">
        <x:v>Management</x:v>
      </x:c>
      <x:c r="D112" s="15" t="str">
        <x:v>Account shows all owned listing states</x:v>
      </x:c>
      <x:c r="E112" s="15" t="str">
        <x:v>Particular owns approved/pending/rejected/hidden/sold listings.</x:v>
      </x:c>
      <x:c r="F112" s="15" t="str">
        <x:v>Open `/mi-cuenta`.</x:v>
      </x:c>
      <x:c r="G112" s="15" t="str">
        <x:v>All owned listings are represented with correct status.</x:v>
      </x:c>
      <x:c r="H112" s="15" t="str">
        <x:v>Particular</x:v>
      </x:c>
      <x:c r="I112" s="15" t="str">
        <x:v>E2E</x:v>
      </x:c>
      <x:c r="J112" s="15" t="str">
        <x:v>Automated</x:v>
      </x:c>
      <x:c r="K112" s="15" t="str">
        <x:v>P0</x:v>
      </x:c>
      <x:c r="L112" s="15" t="str">
        <x:v>Blocking</x:v>
      </x:c>
      <x:c r="M112" s="15" t="str">
        <x:v>L99-L115</x:v>
      </x:c>
      <x:c r="N112" s="15" t="str">
        <x:v>MODIFY</x:v>
      </x:c>
      <x:c r="O112" s="15" t="str">
        <x:v>Not Run</x:v>
      </x:c>
      <x:c r="P112" s="15" t="str"/>
    </x:row>
    <x:row r="113">
      <x:c r="A113" s="15" t="str">
        <x:v>DASH-002</x:v>
      </x:c>
      <x:c r="B113" s="15" t="str">
        <x:v>Particular Dashboard</x:v>
      </x:c>
      <x:c r="C113" s="15" t="str">
        <x:v>Management</x:v>
      </x:c>
      <x:c r="D113" s="15" t="str">
        <x:v>Dashboard opens listing management action</x:v>
      </x:c>
      <x:c r="E113" s="15" t="str">
        <x:v>Owned listing exists.</x:v>
      </x:c>
      <x:c r="F113" s="15" t="str">
        <x:v>Open from account table.</x:v>
      </x:c>
      <x:c r="G113" s="15" t="str">
        <x:v>Correct listing/manage route opens.</x:v>
      </x:c>
      <x:c r="H113" s="15" t="str">
        <x:v>Particular</x:v>
      </x:c>
      <x:c r="I113" s="15" t="str">
        <x:v>E2E</x:v>
      </x:c>
      <x:c r="J113" s="15" t="str">
        <x:v>Automated</x:v>
      </x:c>
      <x:c r="K113" s="15" t="str">
        <x:v>P1</x:v>
      </x:c>
      <x:c r="L113" s="15" t="str">
        <x:v>Blocking</x:v>
      </x:c>
      <x:c r="M113" s="15" t="str">
        <x:v>L99-L115</x:v>
      </x:c>
      <x:c r="N113" s="15" t="str">
        <x:v>MODIFY</x:v>
      </x:c>
      <x:c r="O113" s="15" t="str">
        <x:v>Not Run</x:v>
      </x:c>
      <x:c r="P113" s="15" t="str"/>
    </x:row>
    <x:row r="114">
      <x:c r="A114" s="15" t="str">
        <x:v>DASH-003</x:v>
      </x:c>
      <x:c r="B114" s="15" t="str">
        <x:v>Particular Dashboard</x:v>
      </x:c>
      <x:c r="C114" s="15" t="str">
        <x:v>Management</x:v>
      </x:c>
      <x:c r="D114" s="15" t="str">
        <x:v>Dashboard shows rejection reason</x:v>
      </x:c>
      <x:c r="E114" s="15" t="str">
        <x:v>Rejected listing with reason.</x:v>
      </x:c>
      <x:c r="F114" s="15" t="str">
        <x:v>Open account.</x:v>
      </x:c>
      <x:c r="G114" s="15" t="str">
        <x:v>Reason is visible to owner.</x:v>
      </x:c>
      <x:c r="H114" s="15" t="str">
        <x:v>Particular</x:v>
      </x:c>
      <x:c r="I114" s="15" t="str">
        <x:v>E2E</x:v>
      </x:c>
      <x:c r="J114" s="15" t="str">
        <x:v>Automated</x:v>
      </x:c>
      <x:c r="K114" s="15" t="str">
        <x:v>P0</x:v>
      </x:c>
      <x:c r="L114" s="15" t="str">
        <x:v>Blocking</x:v>
      </x:c>
      <x:c r="M114" s="15" t="str">
        <x:v>L99-L115</x:v>
      </x:c>
      <x:c r="N114" s="15" t="str">
        <x:v>MODIFY</x:v>
      </x:c>
      <x:c r="O114" s="15" t="str">
        <x:v>Not Run</x:v>
      </x:c>
      <x:c r="P114" s="15" t="str"/>
    </x:row>
    <x:row r="115">
      <x:c r="A115" s="15" t="str">
        <x:v>DASH-004</x:v>
      </x:c>
      <x:c r="B115" s="15" t="str">
        <x:v>Particular Dashboard</x:v>
      </x:c>
      <x:c r="C115" s="15" t="str">
        <x:v>Management</x:v>
      </x:c>
      <x:c r="D115" s="15" t="str">
        <x:v>Dashboard offers hide action where valid</x:v>
      </x:c>
      <x:c r="E115" s="15" t="str">
        <x:v>Approved listing.</x:v>
      </x:c>
      <x:c r="F115" s="15" t="str">
        <x:v>Inspect actions.</x:v>
      </x:c>
      <x:c r="G115" s="15" t="str">
        <x:v>Hide/unpublish is available.</x:v>
      </x:c>
      <x:c r="H115" s="15" t="str">
        <x:v>Particular</x:v>
      </x:c>
      <x:c r="I115" s="15" t="str">
        <x:v>E2E</x:v>
      </x:c>
      <x:c r="J115" s="15" t="str">
        <x:v>Automated</x:v>
      </x:c>
      <x:c r="K115" s="15" t="str">
        <x:v>P1</x:v>
      </x:c>
      <x:c r="L115" s="15" t="str">
        <x:v>Blocking</x:v>
      </x:c>
      <x:c r="M115" s="15" t="str">
        <x:v>L99-L115</x:v>
      </x:c>
      <x:c r="N115" s="15" t="str">
        <x:v>MODIFY</x:v>
      </x:c>
      <x:c r="O115" s="15" t="str">
        <x:v>Not Run</x:v>
      </x:c>
      <x:c r="P115" s="15" t="str"/>
    </x:row>
    <x:row r="116">
      <x:c r="A116" s="15" t="str">
        <x:v>DASH-005</x:v>
      </x:c>
      <x:c r="B116" s="15" t="str">
        <x:v>Particular Dashboard</x:v>
      </x:c>
      <x:c r="C116" s="15" t="str">
        <x:v>Management</x:v>
      </x:c>
      <x:c r="D116" s="15" t="str">
        <x:v>Dashboard offers sold action where valid</x:v>
      </x:c>
      <x:c r="E116" s="15" t="str">
        <x:v>Approved listing.</x:v>
      </x:c>
      <x:c r="F116" s="15" t="str">
        <x:v>Inspect actions.</x:v>
      </x:c>
      <x:c r="G116" s="15" t="str">
        <x:v>Mark sold is available.</x:v>
      </x:c>
      <x:c r="H116" s="15" t="str">
        <x:v>Particular</x:v>
      </x:c>
      <x:c r="I116" s="15" t="str">
        <x:v>E2E</x:v>
      </x:c>
      <x:c r="J116" s="15" t="str">
        <x:v>Automated</x:v>
      </x:c>
      <x:c r="K116" s="15" t="str">
        <x:v>P1</x:v>
      </x:c>
      <x:c r="L116" s="15" t="str">
        <x:v>Blocking</x:v>
      </x:c>
      <x:c r="M116" s="15" t="str">
        <x:v>L99-L115</x:v>
      </x:c>
      <x:c r="N116" s="15" t="str">
        <x:v>MODIFY</x:v>
      </x:c>
      <x:c r="O116" s="15" t="str">
        <x:v>Not Run</x:v>
      </x:c>
      <x:c r="P116" s="15" t="str"/>
    </x:row>
    <x:row r="117">
      <x:c r="A117" s="15" t="str">
        <x:v>DASH-006</x:v>
      </x:c>
      <x:c r="B117" s="15" t="str">
        <x:v>Particular Dashboard</x:v>
      </x:c>
      <x:c r="C117" s="15" t="str">
        <x:v>Management</x:v>
      </x:c>
      <x:c r="D117" s="15" t="str">
        <x:v>Dashboard offers relist for sold listing</x:v>
      </x:c>
      <x:c r="E117" s="15" t="str">
        <x:v>Sold listing.</x:v>
      </x:c>
      <x:c r="F117" s="15" t="str">
        <x:v>Inspect actions.</x:v>
      </x:c>
      <x:c r="G117" s="15" t="str">
        <x:v>Relistar is available; direct restore is not.</x:v>
      </x:c>
      <x:c r="H117" s="15" t="str">
        <x:v>Particular</x:v>
      </x:c>
      <x:c r="I117" s="15" t="str">
        <x:v>E2E</x:v>
      </x:c>
      <x:c r="J117" s="15" t="str">
        <x:v>Automated</x:v>
      </x:c>
      <x:c r="K117" s="15" t="str">
        <x:v>P1</x:v>
      </x:c>
      <x:c r="L117" s="15" t="str">
        <x:v>Blocking</x:v>
      </x:c>
      <x:c r="M117" s="15" t="str">
        <x:v>L99-L115</x:v>
      </x:c>
      <x:c r="N117" s="15" t="str">
        <x:v>MODIFY</x:v>
      </x:c>
      <x:c r="O117" s="15" t="str">
        <x:v>Not Run</x:v>
      </x:c>
      <x:c r="P117" s="15" t="str"/>
    </x:row>
    <x:row r="118">
      <x:c r="A118" s="15" t="str">
        <x:v>DASH-007</x:v>
      </x:c>
      <x:c r="B118" s="15" t="str">
        <x:v>Particular Dashboard</x:v>
      </x:c>
      <x:c r="C118" s="15" t="str">
        <x:v>Management</x:v>
      </x:c>
      <x:c r="D118" s="15" t="str">
        <x:v>Dashboard has no fake metric values</x:v>
      </x:c>
      <x:c r="E118" s="15" t="str">
        <x:v>Logged-in Particular.</x:v>
      </x:c>
      <x:c r="F118" s="15" t="str">
        <x:v>Inspect analytics cards before/with data.</x:v>
      </x:c>
      <x:c r="G118" s="15" t="str">
        <x:v>Metrics are real or clearly empty; no placeholder analytics presented as factual.</x:v>
      </x:c>
      <x:c r="H118" s="15" t="str">
        <x:v>Particular</x:v>
      </x:c>
      <x:c r="I118" s="15" t="str">
        <x:v>Manual</x:v>
      </x:c>
      <x:c r="J118" s="15" t="str">
        <x:v>Both</x:v>
      </x:c>
      <x:c r="K118" s="15" t="str">
        <x:v>P0</x:v>
      </x:c>
      <x:c r="L118" s="15" t="str">
        <x:v>Blocking</x:v>
      </x:c>
      <x:c r="M118" s="15" t="str">
        <x:v>L99-L115</x:v>
      </x:c>
      <x:c r="N118" s="15" t="str">
        <x:v>MODIFY</x:v>
      </x:c>
      <x:c r="O118" s="15" t="str">
        <x:v>Not Run</x:v>
      </x:c>
      <x:c r="P118" s="15" t="str"/>
    </x:row>
    <x:row r="119">
      <x:c r="A119" s="15" t="str">
        <x:v>SANA-001</x:v>
      </x:c>
      <x:c r="B119" s="15" t="str">
        <x:v>Analytics</x:v>
      </x:c>
      <x:c r="C119" s="15" t="str">
        <x:v>Seller analytics</x:v>
      </x:c>
      <x:c r="D119" s="15" t="str">
        <x:v>Per-listing view count is displayed</x:v>
      </x:c>
      <x:c r="E119" s="15" t="str">
        <x:v>Owned listing has views.</x:v>
      </x:c>
      <x:c r="F119" s="15" t="str">
        <x:v>Open seller analytics.</x:v>
      </x:c>
      <x:c r="G119" s="15" t="str">
        <x:v>Displayed view count matches analytics source.</x:v>
      </x:c>
      <x:c r="H119" s="15" t="str">
        <x:v>Particular</x:v>
      </x:c>
      <x:c r="I119" s="15" t="str">
        <x:v>Integration</x:v>
      </x:c>
      <x:c r="J119" s="15" t="str">
        <x:v>Automated</x:v>
      </x:c>
      <x:c r="K119" s="15" t="str">
        <x:v>P1</x:v>
      </x:c>
      <x:c r="L119" s="15" t="str">
        <x:v>Blocking</x:v>
      </x:c>
      <x:c r="M119" s="15" t="str">
        <x:v>L111-L115,L205-L215</x:v>
      </x:c>
      <x:c r="N119" s="15" t="str">
        <x:v>BUILD</x:v>
      </x:c>
      <x:c r="O119" s="15" t="str">
        <x:v>Not Run</x:v>
      </x:c>
      <x:c r="P119" s="15" t="str"/>
    </x:row>
    <x:row r="120">
      <x:c r="A120" s="15" t="str">
        <x:v>SANA-002</x:v>
      </x:c>
      <x:c r="B120" s="15" t="str">
        <x:v>Analytics</x:v>
      </x:c>
      <x:c r="C120" s="15" t="str">
        <x:v>Seller analytics</x:v>
      </x:c>
      <x:c r="D120" s="15" t="str">
        <x:v>Per-listing favorite count is displayed</x:v>
      </x:c>
      <x:c r="E120" s="15" t="str">
        <x:v>Owned listing has favorites.</x:v>
      </x:c>
      <x:c r="F120" s="15" t="str">
        <x:v>Open analytics.</x:v>
      </x:c>
      <x:c r="G120" s="15" t="str">
        <x:v>Count matches stored favorite data.</x:v>
      </x:c>
      <x:c r="H120" s="15" t="str">
        <x:v>Particular</x:v>
      </x:c>
      <x:c r="I120" s="15" t="str">
        <x:v>Integration</x:v>
      </x:c>
      <x:c r="J120" s="15" t="str">
        <x:v>Automated</x:v>
      </x:c>
      <x:c r="K120" s="15" t="str">
        <x:v>P1</x:v>
      </x:c>
      <x:c r="L120" s="15" t="str">
        <x:v>Blocking</x:v>
      </x:c>
      <x:c r="M120" s="15" t="str">
        <x:v>L111-L115,L205-L215</x:v>
      </x:c>
      <x:c r="N120" s="15" t="str">
        <x:v>BUILD</x:v>
      </x:c>
      <x:c r="O120" s="15" t="str">
        <x:v>Not Run</x:v>
      </x:c>
      <x:c r="P120" s="15" t="str"/>
    </x:row>
    <x:row r="121">
      <x:c r="A121" s="15" t="str">
        <x:v>SANA-003</x:v>
      </x:c>
      <x:c r="B121" s="15" t="str">
        <x:v>Analytics</x:v>
      </x:c>
      <x:c r="C121" s="15" t="str">
        <x:v>Seller analytics</x:v>
      </x:c>
      <x:c r="D121" s="15" t="str">
        <x:v>Per-listing WhatsApp contact count is displayed</x:v>
      </x:c>
      <x:c r="E121" s="15" t="str">
        <x:v>Owned listing has contact events.</x:v>
      </x:c>
      <x:c r="F121" s="15" t="str">
        <x:v>Open analytics.</x:v>
      </x:c>
      <x:c r="G121" s="15" t="str">
        <x:v>Count matches qualifying events.</x:v>
      </x:c>
      <x:c r="H121" s="15" t="str">
        <x:v>Particular</x:v>
      </x:c>
      <x:c r="I121" s="15" t="str">
        <x:v>Integration</x:v>
      </x:c>
      <x:c r="J121" s="15" t="str">
        <x:v>Automated</x:v>
      </x:c>
      <x:c r="K121" s="15" t="str">
        <x:v>P0</x:v>
      </x:c>
      <x:c r="L121" s="15" t="str">
        <x:v>Blocking</x:v>
      </x:c>
      <x:c r="M121" s="15" t="str">
        <x:v>L111-L115,L205-L215</x:v>
      </x:c>
      <x:c r="N121" s="15" t="str">
        <x:v>BUILD</x:v>
      </x:c>
      <x:c r="O121" s="15" t="str">
        <x:v>Not Run</x:v>
      </x:c>
      <x:c r="P121" s="15" t="str"/>
    </x:row>
    <x:row r="122">
      <x:c r="A122" s="15" t="str">
        <x:v>SANA-004</x:v>
      </x:c>
      <x:c r="B122" s="15" t="str">
        <x:v>Analytics</x:v>
      </x:c>
      <x:c r="C122" s="15" t="str">
        <x:v>Seller analytics</x:v>
      </x:c>
      <x:c r="D122" s="15" t="str">
        <x:v>Per-listing publication date/status/sold state display correctly</x:v>
      </x:c>
      <x:c r="E122" s="15" t="str">
        <x:v>Mixed listings.</x:v>
      </x:c>
      <x:c r="F122" s="15" t="str">
        <x:v>Open analytics.</x:v>
      </x:c>
      <x:c r="G122" s="15" t="str">
        <x:v>Metadata matches listing lifecycle.</x:v>
      </x:c>
      <x:c r="H122" s="15" t="str">
        <x:v>Particular</x:v>
      </x:c>
      <x:c r="I122" s="15" t="str">
        <x:v>E2E</x:v>
      </x:c>
      <x:c r="J122" s="15" t="str">
        <x:v>Automated</x:v>
      </x:c>
      <x:c r="K122" s="15" t="str">
        <x:v>P1</x:v>
      </x:c>
      <x:c r="L122" s="15" t="str">
        <x:v>Blocking</x:v>
      </x:c>
      <x:c r="M122" s="15" t="str">
        <x:v>L111-L115,L205-L215</x:v>
      </x:c>
      <x:c r="N122" s="15" t="str">
        <x:v>BUILD</x:v>
      </x:c>
      <x:c r="O122" s="15" t="str">
        <x:v>Not Run</x:v>
      </x:c>
      <x:c r="P122" s="15" t="str"/>
    </x:row>
    <x:row r="123">
      <x:c r="A123" s="15" t="str">
        <x:v>SANA-005</x:v>
      </x:c>
      <x:c r="B123" s="15" t="str">
        <x:v>Analytics</x:v>
      </x:c>
      <x:c r="C123" s="15" t="str">
        <x:v>Seller analytics</x:v>
      </x:c>
      <x:c r="D123" s="15" t="str">
        <x:v>Account active-listing aggregate is correct</x:v>
      </x:c>
      <x:c r="E123" s="15" t="str">
        <x:v>Owned mixed states.</x:v>
      </x:c>
      <x:c r="F123" s="15" t="str">
        <x:v>Compare dashboard total with DB.</x:v>
      </x:c>
      <x:c r="G123" s="15" t="str">
        <x:v>Only active definition used by product is counted consistently.</x:v>
      </x:c>
      <x:c r="H123" s="15" t="str">
        <x:v>Particular</x:v>
      </x:c>
      <x:c r="I123" s="15" t="str">
        <x:v>Integration</x:v>
      </x:c>
      <x:c r="J123" s="15" t="str">
        <x:v>Automated</x:v>
      </x:c>
      <x:c r="K123" s="15" t="str">
        <x:v>P1</x:v>
      </x:c>
      <x:c r="L123" s="15" t="str">
        <x:v>Blocking</x:v>
      </x:c>
      <x:c r="M123" s="15" t="str">
        <x:v>L111-L115,L205-L215</x:v>
      </x:c>
      <x:c r="N123" s="15" t="str">
        <x:v>BUILD</x:v>
      </x:c>
      <x:c r="O123" s="15" t="str">
        <x:v>Not Run</x:v>
      </x:c>
      <x:c r="P123" s="15" t="str"/>
    </x:row>
    <x:row r="124">
      <x:c r="A124" s="15" t="str">
        <x:v>SANA-006</x:v>
      </x:c>
      <x:c r="B124" s="15" t="str">
        <x:v>Analytics</x:v>
      </x:c>
      <x:c r="C124" s="15" t="str">
        <x:v>Seller analytics</x:v>
      </x:c>
      <x:c r="D124" s="15" t="str">
        <x:v>Account total views aggregate is correct</x:v>
      </x:c>
      <x:c r="E124" s="15" t="str">
        <x:v>Multiple owned listings with views.</x:v>
      </x:c>
      <x:c r="F124" s="15" t="str">
        <x:v>Compare.</x:v>
      </x:c>
      <x:c r="G124" s="15" t="str">
        <x:v>Aggregate equals underlying records/events.</x:v>
      </x:c>
      <x:c r="H124" s="15" t="str">
        <x:v>Particular</x:v>
      </x:c>
      <x:c r="I124" s="15" t="str">
        <x:v>Integration</x:v>
      </x:c>
      <x:c r="J124" s="15" t="str">
        <x:v>Automated</x:v>
      </x:c>
      <x:c r="K124" s="15" t="str">
        <x:v>P1</x:v>
      </x:c>
      <x:c r="L124" s="15" t="str">
        <x:v>Blocking</x:v>
      </x:c>
      <x:c r="M124" s="15" t="str">
        <x:v>L111-L115,L205-L215</x:v>
      </x:c>
      <x:c r="N124" s="15" t="str">
        <x:v>BUILD</x:v>
      </x:c>
      <x:c r="O124" s="15" t="str">
        <x:v>Not Run</x:v>
      </x:c>
      <x:c r="P124" s="15" t="str"/>
    </x:row>
    <x:row r="125">
      <x:c r="A125" s="15" t="str">
        <x:v>SANA-007</x:v>
      </x:c>
      <x:c r="B125" s="15" t="str">
        <x:v>Analytics</x:v>
      </x:c>
      <x:c r="C125" s="15" t="str">
        <x:v>Seller analytics</x:v>
      </x:c>
      <x:c r="D125" s="15" t="str">
        <x:v>Account favorites aggregate is correct</x:v>
      </x:c>
      <x:c r="E125" s="15" t="str">
        <x:v>Favorites across listings.</x:v>
      </x:c>
      <x:c r="F125" s="15" t="str">
        <x:v>Compare.</x:v>
      </x:c>
      <x:c r="G125" s="15" t="str">
        <x:v>Aggregate is correct.</x:v>
      </x:c>
      <x:c r="H125" s="15" t="str">
        <x:v>Particular</x:v>
      </x:c>
      <x:c r="I125" s="15" t="str">
        <x:v>Integration</x:v>
      </x:c>
      <x:c r="J125" s="15" t="str">
        <x:v>Automated</x:v>
      </x:c>
      <x:c r="K125" s="15" t="str">
        <x:v>P1</x:v>
      </x:c>
      <x:c r="L125" s="15" t="str">
        <x:v>Blocking</x:v>
      </x:c>
      <x:c r="M125" s="15" t="str">
        <x:v>L111-L115,L205-L215</x:v>
      </x:c>
      <x:c r="N125" s="15" t="str">
        <x:v>BUILD</x:v>
      </x:c>
      <x:c r="O125" s="15" t="str">
        <x:v>Not Run</x:v>
      </x:c>
      <x:c r="P125" s="15" t="str"/>
    </x:row>
    <x:row r="126">
      <x:c r="A126" s="15" t="str">
        <x:v>SANA-008</x:v>
      </x:c>
      <x:c r="B126" s="15" t="str">
        <x:v>Analytics</x:v>
      </x:c>
      <x:c r="C126" s="15" t="str">
        <x:v>Seller analytics</x:v>
      </x:c>
      <x:c r="D126" s="15" t="str">
        <x:v>Account WhatsApp contacts aggregate is correct</x:v>
      </x:c>
      <x:c r="E126" s="15" t="str">
        <x:v>Contact events across listings.</x:v>
      </x:c>
      <x:c r="F126" s="15" t="str">
        <x:v>Compare.</x:v>
      </x:c>
      <x:c r="G126" s="15" t="str">
        <x:v>Aggregate is correct without message-content data.</x:v>
      </x:c>
      <x:c r="H126" s="15" t="str">
        <x:v>Particular</x:v>
      </x:c>
      <x:c r="I126" s="15" t="str">
        <x:v>Integration</x:v>
      </x:c>
      <x:c r="J126" s="15" t="str">
        <x:v>Automated</x:v>
      </x:c>
      <x:c r="K126" s="15" t="str">
        <x:v>P0</x:v>
      </x:c>
      <x:c r="L126" s="15" t="str">
        <x:v>Blocking</x:v>
      </x:c>
      <x:c r="M126" s="15" t="str">
        <x:v>L111-L115,L205-L215</x:v>
      </x:c>
      <x:c r="N126" s="15" t="str">
        <x:v>BUILD</x:v>
      </x:c>
      <x:c r="O126" s="15" t="str">
        <x:v>Not Run</x:v>
      </x:c>
      <x:c r="P126" s="15" t="str"/>
    </x:row>
    <x:row r="127">
      <x:c r="A127" s="15" t="str">
        <x:v>SANA-009</x:v>
      </x:c>
      <x:c r="B127" s="15" t="str">
        <x:v>Analytics</x:v>
      </x:c>
      <x:c r="C127" s="15" t="str">
        <x:v>Seller analytics</x:v>
      </x:c>
      <x:c r="D127" s="15" t="str">
        <x:v>Sold listings aggregate is correct</x:v>
      </x:c>
      <x:c r="E127" s="15" t="str">
        <x:v>Several sold listings.</x:v>
      </x:c>
      <x:c r="F127" s="15" t="str">
        <x:v>Compare.</x:v>
      </x:c>
      <x:c r="G127" s="15" t="str">
        <x:v>Sold count equals lifecycle records.</x:v>
      </x:c>
      <x:c r="H127" s="15" t="str">
        <x:v>Particular</x:v>
      </x:c>
      <x:c r="I127" s="15" t="str">
        <x:v>Integration</x:v>
      </x:c>
      <x:c r="J127" s="15" t="str">
        <x:v>Automated</x:v>
      </x:c>
      <x:c r="K127" s="15" t="str">
        <x:v>P1</x:v>
      </x:c>
      <x:c r="L127" s="15" t="str">
        <x:v>Blocking</x:v>
      </x:c>
      <x:c r="M127" s="15" t="str">
        <x:v>L111-L115,L205-L215</x:v>
      </x:c>
      <x:c r="N127" s="15" t="str">
        <x:v>BUILD</x:v>
      </x:c>
      <x:c r="O127" s="15" t="str">
        <x:v>Not Run</x:v>
      </x:c>
      <x:c r="P127" s="15" t="str"/>
    </x:row>
    <x:row r="128">
      <x:c r="A128" s="15" t="str">
        <x:v>SANA-010</x:v>
      </x:c>
      <x:c r="B128" s="15" t="str">
        <x:v>Analytics</x:v>
      </x:c>
      <x:c r="C128" s="15" t="str">
        <x:v>Seller analytics</x:v>
      </x:c>
      <x:c r="D128" s="15" t="str">
        <x:v>Revenue is not fabricated</x:v>
      </x:c>
      <x:c r="E128" s="15" t="str">
        <x:v>Transactions occur off-platform.</x:v>
      </x:c>
      <x:c r="F128" s="15" t="str">
        <x:v>Inspect dashboards.</x:v>
      </x:c>
      <x:c r="G128" s="15" t="str">
        <x:v>No invented revenue/GMV is displayed.</x:v>
      </x:c>
      <x:c r="H128" s="15" t="str">
        <x:v>Particular</x:v>
      </x:c>
      <x:c r="I128" s="15" t="str">
        <x:v>Manual</x:v>
      </x:c>
      <x:c r="J128" s="15" t="str">
        <x:v>Manual</x:v>
      </x:c>
      <x:c r="K128" s="15" t="str">
        <x:v>P0</x:v>
      </x:c>
      <x:c r="L128" s="15" t="str">
        <x:v>Blocking</x:v>
      </x:c>
      <x:c r="M128" s="15" t="str">
        <x:v>L111-L115,L205-L215</x:v>
      </x:c>
      <x:c r="N128" s="15" t="str">
        <x:v>BUILD</x:v>
      </x:c>
      <x:c r="O128" s="15" t="str">
        <x:v>Not Run</x:v>
      </x:c>
      <x:c r="P128" s="15" t="str"/>
    </x:row>
    <x:row r="129">
      <x:c r="A129" s="15" t="str">
        <x:v>STORE-001</x:v>
      </x:c>
      <x:c r="B129" s="15" t="str">
        <x:v>Stores</x:v>
      </x:c>
      <x:c r="C129" s="15" t="str">
        <x:v>Owner account &amp; application</x:v>
      </x:c>
      <x:c r="D129" s="15" t="str">
        <x:v>Store owner account can be created separately</x:v>
      </x:c>
      <x:c r="E129" s="15" t="str">
        <x:v>Unique email.</x:v>
      </x:c>
      <x:c r="F129" s="15" t="str">
        <x:v>Complete store-owner account setup.</x:v>
      </x:c>
      <x:c r="G129" s="15" t="str">
        <x:v>Profile uses store-owner role and is not a Particular account.</x:v>
      </x:c>
      <x:c r="H129" s="15" t="str">
        <x:v>Store Owner</x:v>
      </x:c>
      <x:c r="I129" s="15" t="str">
        <x:v>E2E</x:v>
      </x:c>
      <x:c r="J129" s="15" t="str">
        <x:v>Automated</x:v>
      </x:c>
      <x:c r="K129" s="15" t="str">
        <x:v>P0</x:v>
      </x:c>
      <x:c r="L129" s="15" t="str">
        <x:v>Blocking</x:v>
      </x:c>
      <x:c r="M129" s="15" t="str">
        <x:v>L139-L154</x:v>
      </x:c>
      <x:c r="N129" s="15" t="str">
        <x:v>MODIFY</x:v>
      </x:c>
      <x:c r="O129" s="15" t="str">
        <x:v>Not Run</x:v>
      </x:c>
      <x:c r="P129" s="15" t="str"/>
    </x:row>
    <x:row r="130">
      <x:c r="A130" s="15" t="str">
        <x:v>STORE-002</x:v>
      </x:c>
      <x:c r="B130" s="15" t="str">
        <x:v>Stores</x:v>
      </x:c>
      <x:c r="C130" s="15" t="str">
        <x:v>Owner account &amp; application</x:v>
      </x:c>
      <x:c r="D130" s="15" t="str">
        <x:v>One V1 store is bound to its owner account</x:v>
      </x:c>
      <x:c r="E130" s="15" t="str">
        <x:v>Store-owner account.</x:v>
      </x:c>
      <x:c r="F130" s="15" t="str">
        <x:v>Complete application.</x:v>
      </x:c>
      <x:c r="G130" s="15" t="str">
        <x:v>Store owner_user_id/membership links correctly.</x:v>
      </x:c>
      <x:c r="H130" s="15" t="str">
        <x:v>Store Owner</x:v>
      </x:c>
      <x:c r="I130" s="15" t="str">
        <x:v>DB/RLS</x:v>
      </x:c>
      <x:c r="J130" s="15" t="str">
        <x:v>Automated</x:v>
      </x:c>
      <x:c r="K130" s="15" t="str">
        <x:v>P0</x:v>
      </x:c>
      <x:c r="L130" s="15" t="str">
        <x:v>Blocking</x:v>
      </x:c>
      <x:c r="M130" s="15" t="str">
        <x:v>L139-L154</x:v>
      </x:c>
      <x:c r="N130" s="15" t="str">
        <x:v>MODIFY</x:v>
      </x:c>
      <x:c r="O130" s="15" t="str">
        <x:v>Not Run</x:v>
      </x:c>
      <x:c r="P130" s="15" t="str"/>
    </x:row>
    <x:row r="131">
      <x:c r="A131" s="15" t="str">
        <x:v>STORE-003</x:v>
      </x:c>
      <x:c r="B131" s="15" t="str">
        <x:v>Stores</x:v>
      </x:c>
      <x:c r="C131" s="15" t="str">
        <x:v>Owner account &amp; application</x:v>
      </x:c>
      <x:c r="D131" s="15" t="str">
        <x:v>Store application requires RUC</x:v>
      </x:c>
      <x:c r="E131" s="15" t="str">
        <x:v>Store owner logged in.</x:v>
      </x:c>
      <x:c r="F131" s="15" t="str">
        <x:v>Submit without RUC.</x:v>
      </x:c>
      <x:c r="G131" s="15" t="str">
        <x:v>Submission blocked.</x:v>
      </x:c>
      <x:c r="H131" s="15" t="str">
        <x:v>Store Owner</x:v>
      </x:c>
      <x:c r="I131" s="15" t="str">
        <x:v>E2E</x:v>
      </x:c>
      <x:c r="J131" s="15" t="str">
        <x:v>Automated</x:v>
      </x:c>
      <x:c r="K131" s="15" t="str">
        <x:v>P0</x:v>
      </x:c>
      <x:c r="L131" s="15" t="str">
        <x:v>Blocking</x:v>
      </x:c>
      <x:c r="M131" s="15" t="str">
        <x:v>L139-L154</x:v>
      </x:c>
      <x:c r="N131" s="15" t="str">
        <x:v>MODIFY</x:v>
      </x:c>
      <x:c r="O131" s="15" t="str">
        <x:v>Not Run</x:v>
      </x:c>
      <x:c r="P131" s="15" t="str"/>
    </x:row>
    <x:row r="132">
      <x:c r="A132" s="15" t="str">
        <x:v>STORE-004</x:v>
      </x:c>
      <x:c r="B132" s="15" t="str">
        <x:v>Stores</x:v>
      </x:c>
      <x:c r="C132" s="15" t="str">
        <x:v>Owner account &amp; application</x:v>
      </x:c>
      <x:c r="D132" s="15" t="str">
        <x:v>Store application requires business identity/razon social</x:v>
      </x:c>
      <x:c r="E132" s="15" t="str">
        <x:v>Store owner logged in.</x:v>
      </x:c>
      <x:c r="F132" s="15" t="str">
        <x:v>Omit required business identity.</x:v>
      </x:c>
      <x:c r="G132" s="15" t="str">
        <x:v>Submission blocked.</x:v>
      </x:c>
      <x:c r="H132" s="15" t="str">
        <x:v>Store Owner</x:v>
      </x:c>
      <x:c r="I132" s="15" t="str">
        <x:v>E2E</x:v>
      </x:c>
      <x:c r="J132" s="15" t="str">
        <x:v>Automated</x:v>
      </x:c>
      <x:c r="K132" s="15" t="str">
        <x:v>P0</x:v>
      </x:c>
      <x:c r="L132" s="15" t="str">
        <x:v>Blocking</x:v>
      </x:c>
      <x:c r="M132" s="15" t="str">
        <x:v>L139-L154</x:v>
      </x:c>
      <x:c r="N132" s="15" t="str">
        <x:v>MODIFY</x:v>
      </x:c>
      <x:c r="O132" s="15" t="str">
        <x:v>Not Run</x:v>
      </x:c>
      <x:c r="P132" s="15" t="str"/>
    </x:row>
    <x:row r="133">
      <x:c r="A133" s="15" t="str">
        <x:v>STORE-005</x:v>
      </x:c>
      <x:c r="B133" s="15" t="str">
        <x:v>Stores</x:v>
      </x:c>
      <x:c r="C133" s="15" t="str">
        <x:v>Owner account &amp; application</x:v>
      </x:c>
      <x:c r="D133" s="15" t="str">
        <x:v>Store application requires email</x:v>
      </x:c>
      <x:c r="E133" s="15" t="str">
        <x:v>Store owner logged in.</x:v>
      </x:c>
      <x:c r="F133" s="15" t="str">
        <x:v>Omit email.</x:v>
      </x:c>
      <x:c r="G133" s="15" t="str">
        <x:v>Submission blocked.</x:v>
      </x:c>
      <x:c r="H133" s="15" t="str">
        <x:v>Store Owner</x:v>
      </x:c>
      <x:c r="I133" s="15" t="str">
        <x:v>E2E</x:v>
      </x:c>
      <x:c r="J133" s="15" t="str">
        <x:v>Automated</x:v>
      </x:c>
      <x:c r="K133" s="15" t="str">
        <x:v>P1</x:v>
      </x:c>
      <x:c r="L133" s="15" t="str">
        <x:v>Blocking</x:v>
      </x:c>
      <x:c r="M133" s="15" t="str">
        <x:v>L139-L154</x:v>
      </x:c>
      <x:c r="N133" s="15" t="str">
        <x:v>MODIFY</x:v>
      </x:c>
      <x:c r="O133" s="15" t="str">
        <x:v>Not Run</x:v>
      </x:c>
      <x:c r="P133" s="15" t="str"/>
    </x:row>
    <x:row r="134">
      <x:c r="A134" s="15" t="str">
        <x:v>STORE-006</x:v>
      </x:c>
      <x:c r="B134" s="15" t="str">
        <x:v>Stores</x:v>
      </x:c>
      <x:c r="C134" s="15" t="str">
        <x:v>Owner account &amp; application</x:v>
      </x:c>
      <x:c r="D134" s="15" t="str">
        <x:v>Store application requires phone</x:v>
      </x:c>
      <x:c r="E134" s="15" t="str">
        <x:v>Store owner logged in.</x:v>
      </x:c>
      <x:c r="F134" s="15" t="str">
        <x:v>Omit phone.</x:v>
      </x:c>
      <x:c r="G134" s="15" t="str">
        <x:v>Submission blocked.</x:v>
      </x:c>
      <x:c r="H134" s="15" t="str">
        <x:v>Store Owner</x:v>
      </x:c>
      <x:c r="I134" s="15" t="str">
        <x:v>E2E</x:v>
      </x:c>
      <x:c r="J134" s="15" t="str">
        <x:v>Automated</x:v>
      </x:c>
      <x:c r="K134" s="15" t="str">
        <x:v>P1</x:v>
      </x:c>
      <x:c r="L134" s="15" t="str">
        <x:v>Blocking</x:v>
      </x:c>
      <x:c r="M134" s="15" t="str">
        <x:v>L139-L154</x:v>
      </x:c>
      <x:c r="N134" s="15" t="str">
        <x:v>MODIFY</x:v>
      </x:c>
      <x:c r="O134" s="15" t="str">
        <x:v>Not Run</x:v>
      </x:c>
      <x:c r="P134" s="15" t="str"/>
    </x:row>
    <x:row r="135">
      <x:c r="A135" s="15" t="str">
        <x:v>STORE-007</x:v>
      </x:c>
      <x:c r="B135" s="15" t="str">
        <x:v>Stores</x:v>
      </x:c>
      <x:c r="C135" s="15" t="str">
        <x:v>Owner account &amp; application</x:v>
      </x:c>
      <x:c r="D135" s="15" t="str">
        <x:v>Store application requires physical address</x:v>
      </x:c>
      <x:c r="E135" s="15" t="str">
        <x:v>Store owner logged in.</x:v>
      </x:c>
      <x:c r="F135" s="15" t="str">
        <x:v>Omit address.</x:v>
      </x:c>
      <x:c r="G135" s="15" t="str">
        <x:v>Submission blocked.</x:v>
      </x:c>
      <x:c r="H135" s="15" t="str">
        <x:v>Store Owner</x:v>
      </x:c>
      <x:c r="I135" s="15" t="str">
        <x:v>E2E</x:v>
      </x:c>
      <x:c r="J135" s="15" t="str">
        <x:v>Automated</x:v>
      </x:c>
      <x:c r="K135" s="15" t="str">
        <x:v>P1</x:v>
      </x:c>
      <x:c r="L135" s="15" t="str">
        <x:v>Blocking</x:v>
      </x:c>
      <x:c r="M135" s="15" t="str">
        <x:v>L139-L154</x:v>
      </x:c>
      <x:c r="N135" s="15" t="str">
        <x:v>MODIFY</x:v>
      </x:c>
      <x:c r="O135" s="15" t="str">
        <x:v>Not Run</x:v>
      </x:c>
      <x:c r="P135" s="15" t="str"/>
    </x:row>
    <x:row r="136">
      <x:c r="A136" s="15" t="str">
        <x:v>STORE-008</x:v>
      </x:c>
      <x:c r="B136" s="15" t="str">
        <x:v>Stores</x:v>
      </x:c>
      <x:c r="C136" s="15" t="str">
        <x:v>Owner account &amp; application</x:v>
      </x:c>
      <x:c r="D136" s="15" t="str">
        <x:v>Store application requires geographic location</x:v>
      </x:c>
      <x:c r="E136" s="15" t="str">
        <x:v>Store owner logged in.</x:v>
      </x:c>
      <x:c r="F136" s="15" t="str">
        <x:v>Omit required location.</x:v>
      </x:c>
      <x:c r="G136" s="15" t="str">
        <x:v>Submission blocked.</x:v>
      </x:c>
      <x:c r="H136" s="15" t="str">
        <x:v>Store Owner</x:v>
      </x:c>
      <x:c r="I136" s="15" t="str">
        <x:v>E2E</x:v>
      </x:c>
      <x:c r="J136" s="15" t="str">
        <x:v>Automated</x:v>
      </x:c>
      <x:c r="K136" s="15" t="str">
        <x:v>P1</x:v>
      </x:c>
      <x:c r="L136" s="15" t="str">
        <x:v>Blocking</x:v>
      </x:c>
      <x:c r="M136" s="15" t="str">
        <x:v>L139-L154</x:v>
      </x:c>
      <x:c r="N136" s="15" t="str">
        <x:v>MODIFY</x:v>
      </x:c>
      <x:c r="O136" s="15" t="str">
        <x:v>Not Run</x:v>
      </x:c>
      <x:c r="P136" s="15" t="str"/>
    </x:row>
    <x:row r="137">
      <x:c r="A137" s="15" t="str">
        <x:v>STORE-009</x:v>
      </x:c>
      <x:c r="B137" s="15" t="str">
        <x:v>Stores</x:v>
      </x:c>
      <x:c r="C137" s="15" t="str">
        <x:v>Owner account &amp; application</x:v>
      </x:c>
      <x:c r="D137" s="15" t="str">
        <x:v>Store application requires contact person</x:v>
      </x:c>
      <x:c r="E137" s="15" t="str">
        <x:v>Store owner logged in.</x:v>
      </x:c>
      <x:c r="F137" s="15" t="str">
        <x:v>Omit contact person.</x:v>
      </x:c>
      <x:c r="G137" s="15" t="str">
        <x:v>Submission blocked.</x:v>
      </x:c>
      <x:c r="H137" s="15" t="str">
        <x:v>Store Owner</x:v>
      </x:c>
      <x:c r="I137" s="15" t="str">
        <x:v>E2E</x:v>
      </x:c>
      <x:c r="J137" s="15" t="str">
        <x:v>Automated</x:v>
      </x:c>
      <x:c r="K137" s="15" t="str">
        <x:v>P1</x:v>
      </x:c>
      <x:c r="L137" s="15" t="str">
        <x:v>Blocking</x:v>
      </x:c>
      <x:c r="M137" s="15" t="str">
        <x:v>L139-L154</x:v>
      </x:c>
      <x:c r="N137" s="15" t="str">
        <x:v>MODIFY</x:v>
      </x:c>
      <x:c r="O137" s="15" t="str">
        <x:v>Not Run</x:v>
      </x:c>
      <x:c r="P137" s="15" t="str"/>
    </x:row>
    <x:row r="138">
      <x:c r="A138" s="15" t="str">
        <x:v>STORE-010</x:v>
      </x:c>
      <x:c r="B138" s="15" t="str">
        <x:v>Stores</x:v>
      </x:c>
      <x:c r="C138" s="15" t="str">
        <x:v>Owner account &amp; application</x:v>
      </x:c>
      <x:c r="D138" s="15" t="str">
        <x:v>Optional store photos can be submitted</x:v>
      </x:c>
      <x:c r="E138" s="15" t="str">
        <x:v>Valid application.</x:v>
      </x:c>
      <x:c r="F138" s="15" t="str">
        <x:v>Attach valid optional store photos.</x:v>
      </x:c>
      <x:c r="G138" s="15" t="str">
        <x:v>Application accepts and stores them.</x:v>
      </x:c>
      <x:c r="H138" s="15" t="str">
        <x:v>Store Owner</x:v>
      </x:c>
      <x:c r="I138" s="15" t="str">
        <x:v>E2E</x:v>
      </x:c>
      <x:c r="J138" s="15" t="str">
        <x:v>Automated</x:v>
      </x:c>
      <x:c r="K138" s="15" t="str">
        <x:v>P2</x:v>
      </x:c>
      <x:c r="L138" s="15" t="str">
        <x:v>Non-blocking</x:v>
      </x:c>
      <x:c r="M138" s="15" t="str">
        <x:v>L139-L154</x:v>
      </x:c>
      <x:c r="N138" s="15" t="str">
        <x:v>MODIFY</x:v>
      </x:c>
      <x:c r="O138" s="15" t="str">
        <x:v>Not Run</x:v>
      </x:c>
      <x:c r="P138" s="15" t="str"/>
    </x:row>
    <x:row r="139">
      <x:c r="A139" s="15" t="str">
        <x:v>STORE-011</x:v>
      </x:c>
      <x:c r="B139" s="15" t="str">
        <x:v>Stores</x:v>
      </x:c>
      <x:c r="C139" s="15" t="str">
        <x:v>Owner account &amp; application</x:v>
      </x:c>
      <x:c r="D139" s="15" t="str">
        <x:v>Optional logo/banner/socials can be omitted</x:v>
      </x:c>
      <x:c r="E139" s="15" t="str">
        <x:v>Valid required data only.</x:v>
      </x:c>
      <x:c r="F139" s="15" t="str">
        <x:v>Submit.</x:v>
      </x:c>
      <x:c r="G139" s="15" t="str">
        <x:v>Application succeeds without optional assets/socials.</x:v>
      </x:c>
      <x:c r="H139" s="15" t="str">
        <x:v>Store Owner</x:v>
      </x:c>
      <x:c r="I139" s="15" t="str">
        <x:v>E2E</x:v>
      </x:c>
      <x:c r="J139" s="15" t="str">
        <x:v>Automated</x:v>
      </x:c>
      <x:c r="K139" s="15" t="str">
        <x:v>P1</x:v>
      </x:c>
      <x:c r="L139" s="15" t="str">
        <x:v>Blocking</x:v>
      </x:c>
      <x:c r="M139" s="15" t="str">
        <x:v>L139-L154</x:v>
      </x:c>
      <x:c r="N139" s="15" t="str">
        <x:v>MODIFY</x:v>
      </x:c>
      <x:c r="O139" s="15" t="str">
        <x:v>Not Run</x:v>
      </x:c>
      <x:c r="P139" s="15" t="str"/>
    </x:row>
    <x:row r="140">
      <x:c r="A140" s="15" t="str">
        <x:v>STORE-012</x:v>
      </x:c>
      <x:c r="B140" s="15" t="str">
        <x:v>Stores</x:v>
      </x:c>
      <x:c r="C140" s="15" t="str">
        <x:v>Owner account &amp; application</x:v>
      </x:c>
      <x:c r="D140" s="15" t="str">
        <x:v>Optional logo/banner/socials save when provided</x:v>
      </x:c>
      <x:c r="E140" s="15" t="str">
        <x:v>Valid application with optional fields.</x:v>
      </x:c>
      <x:c r="F140" s="15" t="str">
        <x:v>Submit.</x:v>
      </x:c>
      <x:c r="G140" s="15" t="str">
        <x:v>Values/assets persist and render when public.</x:v>
      </x:c>
      <x:c r="H140" s="15" t="str">
        <x:v>Store Owner</x:v>
      </x:c>
      <x:c r="I140" s="15" t="str">
        <x:v>E2E</x:v>
      </x:c>
      <x:c r="J140" s="15" t="str">
        <x:v>Automated</x:v>
      </x:c>
      <x:c r="K140" s="15" t="str">
        <x:v>P1</x:v>
      </x:c>
      <x:c r="L140" s="15" t="str">
        <x:v>Blocking</x:v>
      </x:c>
      <x:c r="M140" s="15" t="str">
        <x:v>L139-L154</x:v>
      </x:c>
      <x:c r="N140" s="15" t="str">
        <x:v>MODIFY</x:v>
      </x:c>
      <x:c r="O140" s="15" t="str">
        <x:v>Not Run</x:v>
      </x:c>
      <x:c r="P140" s="15" t="str"/>
    </x:row>
    <x:row r="141">
      <x:c r="A141" s="15" t="str">
        <x:v>STORE-013</x:v>
      </x:c>
      <x:c r="B141" s="15" t="str">
        <x:v>Stores</x:v>
      </x:c>
      <x:c r="C141" s="15" t="str">
        <x:v>Owner account &amp; application</x:v>
      </x:c>
      <x:c r="D141" s="15" t="str">
        <x:v>Duplicate RUC is rejected</x:v>
      </x:c>
      <x:c r="E141" s="15" t="str">
        <x:v>Existing store with same RUC.</x:v>
      </x:c>
      <x:c r="F141" s="15" t="str">
        <x:v>Submit another application.</x:v>
      </x:c>
      <x:c r="G141" s="15" t="str">
        <x:v>Duplicate store is not silently created.</x:v>
      </x:c>
      <x:c r="H141" s="15" t="str">
        <x:v>Store Owner</x:v>
      </x:c>
      <x:c r="I141" s="15" t="str">
        <x:v>DB</x:v>
      </x:c>
      <x:c r="J141" s="15" t="str">
        <x:v>Automated</x:v>
      </x:c>
      <x:c r="K141" s="15" t="str">
        <x:v>P0</x:v>
      </x:c>
      <x:c r="L141" s="15" t="str">
        <x:v>Blocking</x:v>
      </x:c>
      <x:c r="M141" s="15" t="str">
        <x:v>L139-L154</x:v>
      </x:c>
      <x:c r="N141" s="15" t="str">
        <x:v>MODIFY</x:v>
      </x:c>
      <x:c r="O141" s="15" t="str">
        <x:v>Not Run</x:v>
      </x:c>
      <x:c r="P141" s="15" t="str"/>
    </x:row>
    <x:row r="142">
      <x:c r="A142" s="15" t="str">
        <x:v>STORE-014</x:v>
      </x:c>
      <x:c r="B142" s="15" t="str">
        <x:v>Stores</x:v>
      </x:c>
      <x:c r="C142" s="15" t="str">
        <x:v>Owner account &amp; application</x:v>
      </x:c>
      <x:c r="D142" s="15" t="str">
        <x:v>RUC uniqueness is concurrency-safe</x:v>
      </x:c>
      <x:c r="E142" s="15" t="str">
        <x:v>Two simultaneous applications with same new RUC.</x:v>
      </x:c>
      <x:c r="F142" s="15" t="str">
        <x:v>Submit concurrently.</x:v>
      </x:c>
      <x:c r="G142" s="15" t="str">
        <x:v>At most one succeeds; database constraint/invariant holds.</x:v>
      </x:c>
      <x:c r="H142" s="15" t="str">
        <x:v>Store Owner</x:v>
      </x:c>
      <x:c r="I142" s="15" t="str">
        <x:v>DB/Concurrency</x:v>
      </x:c>
      <x:c r="J142" s="15" t="str">
        <x:v>Automated</x:v>
      </x:c>
      <x:c r="K142" s="15" t="str">
        <x:v>P0</x:v>
      </x:c>
      <x:c r="L142" s="15" t="str">
        <x:v>Blocking</x:v>
      </x:c>
      <x:c r="M142" s="15" t="str">
        <x:v>L139-L154</x:v>
      </x:c>
      <x:c r="N142" s="15" t="str">
        <x:v>MODIFY</x:v>
      </x:c>
      <x:c r="O142" s="15" t="str">
        <x:v>Not Run</x:v>
      </x:c>
      <x:c r="P142" s="15" t="str"/>
    </x:row>
    <x:row r="143">
      <x:c r="A143" s="15" t="str">
        <x:v>STORE-015</x:v>
      </x:c>
      <x:c r="B143" s="15" t="str">
        <x:v>Stores</x:v>
      </x:c>
      <x:c r="C143" s="15" t="str">
        <x:v>Owner account &amp; application</x:v>
      </x:c>
      <x:c r="D143" s="15" t="str">
        <x:v>Store page is not public before basic admin approval</x:v>
      </x:c>
      <x:c r="E143" s="15" t="str">
        <x:v>Pending store.</x:v>
      </x:c>
      <x:c r="F143" s="15" t="str">
        <x:v>Open public slug.</x:v>
      </x:c>
      <x:c r="G143" s="15" t="str">
        <x:v>Public page is not exposed.</x:v>
      </x:c>
      <x:c r="H143" s="15" t="str">
        <x:v>Anonymous</x:v>
      </x:c>
      <x:c r="I143" s="15" t="str">
        <x:v>E2E</x:v>
      </x:c>
      <x:c r="J143" s="15" t="str">
        <x:v>Automated</x:v>
      </x:c>
      <x:c r="K143" s="15" t="str">
        <x:v>P0</x:v>
      </x:c>
      <x:c r="L143" s="15" t="str">
        <x:v>Blocking</x:v>
      </x:c>
      <x:c r="M143" s="15" t="str">
        <x:v>L139-L154</x:v>
      </x:c>
      <x:c r="N143" s="15" t="str">
        <x:v>MODIFY</x:v>
      </x:c>
      <x:c r="O143" s="15" t="str">
        <x:v>Not Run</x:v>
      </x:c>
      <x:c r="P143" s="15" t="str"/>
    </x:row>
    <x:row r="144">
      <x:c r="A144" s="15" t="str">
        <x:v>STORE-016</x:v>
      </x:c>
      <x:c r="B144" s="15" t="str">
        <x:v>Stores</x:v>
      </x:c>
      <x:c r="C144" s="15" t="str">
        <x:v>Owner account &amp; application</x:v>
      </x:c>
      <x:c r="D144" s="15" t="str">
        <x:v>Pending store owner may submit listings</x:v>
      </x:c>
      <x:c r="E144" s="15" t="str">
        <x:v>Store application pending.</x:v>
      </x:c>
      <x:c r="F144" s="15" t="str">
        <x:v>Create inventory listing.</x:v>
      </x:c>
      <x:c r="G144" s="15" t="str">
        <x:v>Submission is accepted into normal moderation if within cap.</x:v>
      </x:c>
      <x:c r="H144" s="15" t="str">
        <x:v>Store Owner</x:v>
      </x:c>
      <x:c r="I144" s="15" t="str">
        <x:v>E2E</x:v>
      </x:c>
      <x:c r="J144" s="15" t="str">
        <x:v>Automated</x:v>
      </x:c>
      <x:c r="K144" s="15" t="str">
        <x:v>P0</x:v>
      </x:c>
      <x:c r="L144" s="15" t="str">
        <x:v>Blocking</x:v>
      </x:c>
      <x:c r="M144" s="15" t="str">
        <x:v>L139-L154</x:v>
      </x:c>
      <x:c r="N144" s="15" t="str">
        <x:v>MODIFY</x:v>
      </x:c>
      <x:c r="O144" s="15" t="str">
        <x:v>Not Run</x:v>
      </x:c>
      <x:c r="P144" s="15" t="str"/>
    </x:row>
    <x:row r="145">
      <x:c r="A145" s="15" t="str">
        <x:v>STORE-017</x:v>
      </x:c>
      <x:c r="B145" s="15" t="str">
        <x:v>Stores</x:v>
      </x:c>
      <x:c r="C145" s="15" t="str">
        <x:v>Owner account &amp; application</x:v>
      </x:c>
      <x:c r="D145" s="15" t="str">
        <x:v>Store owner cannot manage another store</x:v>
      </x:c>
      <x:c r="E145" s="15" t="str">
        <x:v>Two stores/owners.</x:v>
      </x:c>
      <x:c r="F145" s="15" t="str">
        <x:v>Owner A attempts B store update.</x:v>
      </x:c>
      <x:c r="G145" s="15" t="str">
        <x:v>Denied.</x:v>
      </x:c>
      <x:c r="H145" s="15" t="str">
        <x:v>Store Owner</x:v>
      </x:c>
      <x:c r="I145" s="15" t="str">
        <x:v>DB/RLS</x:v>
      </x:c>
      <x:c r="J145" s="15" t="str">
        <x:v>Automated</x:v>
      </x:c>
      <x:c r="K145" s="15" t="str">
        <x:v>P0</x:v>
      </x:c>
      <x:c r="L145" s="15" t="str">
        <x:v>Blocking</x:v>
      </x:c>
      <x:c r="M145" s="15" t="str">
        <x:v>L139-L154</x:v>
      </x:c>
      <x:c r="N145" s="15" t="str">
        <x:v>MODIFY</x:v>
      </x:c>
      <x:c r="O145" s="15" t="str">
        <x:v>Not Run</x:v>
      </x:c>
      <x:c r="P145" s="15" t="str"/>
    </x:row>
    <x:row r="146">
      <x:c r="A146" s="15" t="str">
        <x:v>VERIFY-001</x:v>
      </x:c>
      <x:c r="B146" s="15" t="str">
        <x:v>Stores</x:v>
      </x:c>
      <x:c r="C146" s="15" t="str">
        <x:v>Approval &amp; verification</x:v>
      </x:c>
      <x:c r="D146" s="15" t="str">
        <x:v>Basic admin approval makes store public as Tienda</x:v>
      </x:c>
      <x:c r="E146" s="15" t="str">
        <x:v>Pending valid store.</x:v>
      </x:c>
      <x:c r="F146" s="15" t="str">
        <x:v>Admin approves.</x:v>
      </x:c>
      <x:c r="G146" s="15" t="str">
        <x:v>Store page becomes public with Tienda label.</x:v>
      </x:c>
      <x:c r="H146" s="15" t="str">
        <x:v>Admin</x:v>
      </x:c>
      <x:c r="I146" s="15" t="str">
        <x:v>E2E</x:v>
      </x:c>
      <x:c r="J146" s="15" t="str">
        <x:v>Automated</x:v>
      </x:c>
      <x:c r="K146" s="15" t="str">
        <x:v>P0</x:v>
      </x:c>
      <x:c r="L146" s="15" t="str">
        <x:v>Blocking</x:v>
      </x:c>
      <x:c r="M146" s="15" t="str">
        <x:v>L156-L165</x:v>
      </x:c>
      <x:c r="N146" s="15" t="str">
        <x:v>MODIFY</x:v>
      </x:c>
      <x:c r="O146" s="15" t="str">
        <x:v>Not Run</x:v>
      </x:c>
      <x:c r="P146" s="15" t="str"/>
    </x:row>
    <x:row r="147">
      <x:c r="A147" s="15" t="str">
        <x:v>VERIFY-002</x:v>
      </x:c>
      <x:c r="B147" s="15" t="str">
        <x:v>Stores</x:v>
      </x:c>
      <x:c r="C147" s="15" t="str">
        <x:v>Approval &amp; verification</x:v>
      </x:c>
      <x:c r="D147" s="15" t="str">
        <x:v>Normal Tienda listings still require moderation</x:v>
      </x:c>
      <x:c r="E147" s="15" t="str">
        <x:v>Active nonverified store.</x:v>
      </x:c>
      <x:c r="F147" s="15" t="str">
        <x:v>Submit valid listing.</x:v>
      </x:c>
      <x:c r="G147" s="15" t="str">
        <x:v>Listing enters pending rather than direct approved.</x:v>
      </x:c>
      <x:c r="H147" s="15" t="str">
        <x:v>Store Owner</x:v>
      </x:c>
      <x:c r="I147" s="15" t="str">
        <x:v>E2E</x:v>
      </x:c>
      <x:c r="J147" s="15" t="str">
        <x:v>Automated</x:v>
      </x:c>
      <x:c r="K147" s="15" t="str">
        <x:v>P0</x:v>
      </x:c>
      <x:c r="L147" s="15" t="str">
        <x:v>Blocking</x:v>
      </x:c>
      <x:c r="M147" s="15" t="str">
        <x:v>L156-L165</x:v>
      </x:c>
      <x:c r="N147" s="15" t="str">
        <x:v>MODIFY</x:v>
      </x:c>
      <x:c r="O147" s="15" t="str">
        <x:v>Not Run</x:v>
      </x:c>
      <x:c r="P147" s="15" t="str"/>
    </x:row>
    <x:row r="148">
      <x:c r="A148" s="15" t="str">
        <x:v>VERIFY-003</x:v>
      </x:c>
      <x:c r="B148" s="15" t="str">
        <x:v>Stores</x:v>
      </x:c>
      <x:c r="C148" s="15" t="str">
        <x:v>Approval &amp; verification</x:v>
      </x:c>
      <x:c r="D148" s="15" t="str">
        <x:v>Admin can mark eligible store Tienda Verificada</x:v>
      </x:c>
      <x:c r="E148" s="15" t="str">
        <x:v>Active store with verification data.</x:v>
      </x:c>
      <x:c r="F148" s="15" t="str">
        <x:v>Admin verifies.</x:v>
      </x:c>
      <x:c r="G148" s="15" t="str">
        <x:v>is_verified/public trust state changes; direct-publication privilege enabled.</x:v>
      </x:c>
      <x:c r="H148" s="15" t="str">
        <x:v>Admin</x:v>
      </x:c>
      <x:c r="I148" s="15" t="str">
        <x:v>E2E</x:v>
      </x:c>
      <x:c r="J148" s="15" t="str">
        <x:v>Automated</x:v>
      </x:c>
      <x:c r="K148" s="15" t="str">
        <x:v>P0</x:v>
      </x:c>
      <x:c r="L148" s="15" t="str">
        <x:v>Blocking</x:v>
      </x:c>
      <x:c r="M148" s="15" t="str">
        <x:v>L156-L165</x:v>
      </x:c>
      <x:c r="N148" s="15" t="str">
        <x:v>MODIFY</x:v>
      </x:c>
      <x:c r="O148" s="15" t="str">
        <x:v>Not Run</x:v>
      </x:c>
      <x:c r="P148" s="15" t="str"/>
    </x:row>
    <x:row r="149">
      <x:c r="A149" s="15" t="str">
        <x:v>VERIFY-004</x:v>
      </x:c>
      <x:c r="B149" s="15" t="str">
        <x:v>Stores</x:v>
      </x:c>
      <x:c r="C149" s="15" t="str">
        <x:v>Approval &amp; verification</x:v>
      </x:c>
      <x:c r="D149" s="15" t="str">
        <x:v>Verified store can publish qualifying new listing directly</x:v>
      </x:c>
      <x:c r="E149" s="15" t="str">
        <x:v>Verified store within cap.</x:v>
      </x:c>
      <x:c r="F149" s="15" t="str">
        <x:v>Submit valid listing.</x:v>
      </x:c>
      <x:c r="G149" s="15" t="str">
        <x:v>Listing becomes approved/public without per-listing admin moderation.</x:v>
      </x:c>
      <x:c r="H149" s="15" t="str">
        <x:v>Store Owner</x:v>
      </x:c>
      <x:c r="I149" s="15" t="str">
        <x:v>E2E</x:v>
      </x:c>
      <x:c r="J149" s="15" t="str">
        <x:v>Automated</x:v>
      </x:c>
      <x:c r="K149" s="15" t="str">
        <x:v>P0</x:v>
      </x:c>
      <x:c r="L149" s="15" t="str">
        <x:v>Blocking</x:v>
      </x:c>
      <x:c r="M149" s="15" t="str">
        <x:v>L156-L165</x:v>
      </x:c>
      <x:c r="N149" s="15" t="str">
        <x:v>MODIFY</x:v>
      </x:c>
      <x:c r="O149" s="15" t="str">
        <x:v>Not Run</x:v>
      </x:c>
      <x:c r="P149" s="15" t="str"/>
    </x:row>
    <x:row r="150">
      <x:c r="A150" s="15" t="str">
        <x:v>VERIFY-005</x:v>
      </x:c>
      <x:c r="B150" s="15" t="str">
        <x:v>Stores</x:v>
      </x:c>
      <x:c r="C150" s="15" t="str">
        <x:v>Approval &amp; verification</x:v>
      </x:c>
      <x:c r="D150" s="15" t="str">
        <x:v>Verification auto-approves current pending store listings</x:v>
      </x:c>
      <x:c r="E150" s="15" t="str">
        <x:v>Store has several pending listings.</x:v>
      </x:c>
      <x:c r="F150" s="15" t="str">
        <x:v>Admin verifies store.</x:v>
      </x:c>
      <x:c r="G150" s="15" t="str">
        <x:v>All qualifying/current pending listings for that store become approved.</x:v>
      </x:c>
      <x:c r="H150" s="15" t="str">
        <x:v>Admin</x:v>
      </x:c>
      <x:c r="I150" s="15" t="str">
        <x:v>DB/Integration</x:v>
      </x:c>
      <x:c r="J150" s="15" t="str">
        <x:v>Automated</x:v>
      </x:c>
      <x:c r="K150" s="15" t="str">
        <x:v>P0</x:v>
      </x:c>
      <x:c r="L150" s="15" t="str">
        <x:v>Blocking</x:v>
      </x:c>
      <x:c r="M150" s="15" t="str">
        <x:v>L156-L165</x:v>
      </x:c>
      <x:c r="N150" s="15" t="str">
        <x:v>MODIFY</x:v>
      </x:c>
      <x:c r="O150" s="15" t="str">
        <x:v>Not Run</x:v>
      </x:c>
      <x:c r="P150" s="15" t="str"/>
    </x:row>
    <x:row r="151">
      <x:c r="A151" s="15" t="str">
        <x:v>VERIFY-006</x:v>
      </x:c>
      <x:c r="B151" s="15" t="str">
        <x:v>Stores</x:v>
      </x:c>
      <x:c r="C151" s="15" t="str">
        <x:v>Approval &amp; verification</x:v>
      </x:c>
      <x:c r="D151" s="15" t="str">
        <x:v>Verification does not resurrect rejected listings</x:v>
      </x:c>
      <x:c r="E151" s="15" t="str">
        <x:v>Store has rejected listing.</x:v>
      </x:c>
      <x:c r="F151" s="15" t="str">
        <x:v>Verify store.</x:v>
      </x:c>
      <x:c r="G151" s="15" t="str">
        <x:v>Rejected remains rejected.</x:v>
      </x:c>
      <x:c r="H151" s="15" t="str">
        <x:v>Admin</x:v>
      </x:c>
      <x:c r="I151" s="15" t="str">
        <x:v>DB</x:v>
      </x:c>
      <x:c r="J151" s="15" t="str">
        <x:v>Automated</x:v>
      </x:c>
      <x:c r="K151" s="15" t="str">
        <x:v>P0</x:v>
      </x:c>
      <x:c r="L151" s="15" t="str">
        <x:v>Blocking</x:v>
      </x:c>
      <x:c r="M151" s="15" t="str">
        <x:v>L156-L165</x:v>
      </x:c>
      <x:c r="N151" s="15" t="str">
        <x:v>MODIFY</x:v>
      </x:c>
      <x:c r="O151" s="15" t="str">
        <x:v>Not Run</x:v>
      </x:c>
      <x:c r="P151" s="15" t="str"/>
    </x:row>
    <x:row r="152">
      <x:c r="A152" s="15" t="str">
        <x:v>VERIFY-007</x:v>
      </x:c>
      <x:c r="B152" s="15" t="str">
        <x:v>Stores</x:v>
      </x:c>
      <x:c r="C152" s="15" t="str">
        <x:v>Approval &amp; verification</x:v>
      </x:c>
      <x:c r="D152" s="15" t="str">
        <x:v>Verification does not resurrect hidden listings</x:v>
      </x:c>
      <x:c r="E152" s="15" t="str">
        <x:v>Store has hidden listing.</x:v>
      </x:c>
      <x:c r="F152" s="15" t="str">
        <x:v>Verify store.</x:v>
      </x:c>
      <x:c r="G152" s="15" t="str">
        <x:v>Hidden remains hidden.</x:v>
      </x:c>
      <x:c r="H152" s="15" t="str">
        <x:v>Admin</x:v>
      </x:c>
      <x:c r="I152" s="15" t="str">
        <x:v>DB</x:v>
      </x:c>
      <x:c r="J152" s="15" t="str">
        <x:v>Automated</x:v>
      </x:c>
      <x:c r="K152" s="15" t="str">
        <x:v>P0</x:v>
      </x:c>
      <x:c r="L152" s="15" t="str">
        <x:v>Blocking</x:v>
      </x:c>
      <x:c r="M152" s="15" t="str">
        <x:v>L156-L165</x:v>
      </x:c>
      <x:c r="N152" s="15" t="str">
        <x:v>MODIFY</x:v>
      </x:c>
      <x:c r="O152" s="15" t="str">
        <x:v>Not Run</x:v>
      </x:c>
      <x:c r="P152" s="15" t="str"/>
    </x:row>
    <x:row r="153">
      <x:c r="A153" s="15" t="str">
        <x:v>VERIFY-008</x:v>
      </x:c>
      <x:c r="B153" s="15" t="str">
        <x:v>Stores</x:v>
      </x:c>
      <x:c r="C153" s="15" t="str">
        <x:v>Approval &amp; verification</x:v>
      </x:c>
      <x:c r="D153" s="15" t="str">
        <x:v>Verification does not alter sold listings</x:v>
      </x:c>
      <x:c r="E153" s="15" t="str">
        <x:v>Store has sold listing.</x:v>
      </x:c>
      <x:c r="F153" s="15" t="str">
        <x:v>Verify store.</x:v>
      </x:c>
      <x:c r="G153" s="15" t="str">
        <x:v>Sold remains sold/history intact.</x:v>
      </x:c>
      <x:c r="H153" s="15" t="str">
        <x:v>Admin</x:v>
      </x:c>
      <x:c r="I153" s="15" t="str">
        <x:v>DB</x:v>
      </x:c>
      <x:c r="J153" s="15" t="str">
        <x:v>Automated</x:v>
      </x:c>
      <x:c r="K153" s="15" t="str">
        <x:v>P0</x:v>
      </x:c>
      <x:c r="L153" s="15" t="str">
        <x:v>Blocking</x:v>
      </x:c>
      <x:c r="M153" s="15" t="str">
        <x:v>L156-L165</x:v>
      </x:c>
      <x:c r="N153" s="15" t="str">
        <x:v>MODIFY</x:v>
      </x:c>
      <x:c r="O153" s="15" t="str">
        <x:v>Not Run</x:v>
      </x:c>
      <x:c r="P153" s="15" t="str"/>
    </x:row>
    <x:row r="154">
      <x:c r="A154" s="15" t="str">
        <x:v>VERIFY-009</x:v>
      </x:c>
      <x:c r="B154" s="15" t="str">
        <x:v>Stores</x:v>
      </x:c>
      <x:c r="C154" s="15" t="str">
        <x:v>Approval &amp; verification</x:v>
      </x:c>
      <x:c r="D154" s="15" t="str">
        <x:v>Verification transition is atomic with pending inventory approval</x:v>
      </x:c>
      <x:c r="E154" s="15" t="str">
        <x:v>Store with pending inventory.</x:v>
      </x:c>
      <x:c r="F154" s="15" t="str">
        <x:v>Force concurrent/partial failure around verification.</x:v>
      </x:c>
      <x:c r="G154" s="15" t="str">
        <x:v>No half-verified inconsistent state; invariant holds.</x:v>
      </x:c>
      <x:c r="H154" s="15" t="str">
        <x:v>Admin</x:v>
      </x:c>
      <x:c r="I154" s="15" t="str">
        <x:v>DB/Concurrency</x:v>
      </x:c>
      <x:c r="J154" s="15" t="str">
        <x:v>Automated</x:v>
      </x:c>
      <x:c r="K154" s="15" t="str">
        <x:v>P0</x:v>
      </x:c>
      <x:c r="L154" s="15" t="str">
        <x:v>Blocking</x:v>
      </x:c>
      <x:c r="M154" s="15" t="str">
        <x:v>L156-L165</x:v>
      </x:c>
      <x:c r="N154" s="15" t="str">
        <x:v>MODIFY</x:v>
      </x:c>
      <x:c r="O154" s="15" t="str">
        <x:v>Not Run</x:v>
      </x:c>
      <x:c r="P154" s="15" t="str"/>
    </x:row>
    <x:row r="155">
      <x:c r="A155" s="15" t="str">
        <x:v>VERIFY-010</x:v>
      </x:c>
      <x:c r="B155" s="15" t="str">
        <x:v>Stores</x:v>
      </x:c>
      <x:c r="C155" s="15" t="str">
        <x:v>Approval &amp; verification</x:v>
      </x:c>
      <x:c r="D155" s="15" t="str">
        <x:v>Revoking verification removes direct-publication privilege</x:v>
      </x:c>
      <x:c r="E155" s="15" t="str">
        <x:v>Verified store.</x:v>
      </x:c>
      <x:c r="F155" s="15" t="str">
        <x:v>Admin revokes; submit next listing.</x:v>
      </x:c>
      <x:c r="G155" s="15" t="str">
        <x:v>Existing approved inventory stays approved; new listing requires moderation.</x:v>
      </x:c>
      <x:c r="H155" s="15" t="str">
        <x:v>Admin</x:v>
      </x:c>
      <x:c r="I155" s="15" t="str">
        <x:v>E2E</x:v>
      </x:c>
      <x:c r="J155" s="15" t="str">
        <x:v>Automated</x:v>
      </x:c>
      <x:c r="K155" s="15" t="str">
        <x:v>P0</x:v>
      </x:c>
      <x:c r="L155" s="15" t="str">
        <x:v>Blocking</x:v>
      </x:c>
      <x:c r="M155" s="15" t="str">
        <x:v>L156-L165</x:v>
      </x:c>
      <x:c r="N155" s="15" t="str">
        <x:v>MODIFY</x:v>
      </x:c>
      <x:c r="O155" s="15" t="str">
        <x:v>Not Run</x:v>
      </x:c>
      <x:c r="P155" s="15" t="str"/>
    </x:row>
    <x:row r="156">
      <x:c r="A156" s="15" t="str">
        <x:v>VERIFY-011</x:v>
      </x:c>
      <x:c r="B156" s="15" t="str">
        <x:v>Stores</x:v>
      </x:c>
      <x:c r="C156" s="15" t="str">
        <x:v>Approval &amp; verification</x:v>
      </x:c>
      <x:c r="D156" s="15" t="str">
        <x:v>Revoking verification does not hide approved listings</x:v>
      </x:c>
      <x:c r="E156" s="15" t="str">
        <x:v>Verified store with public inventory.</x:v>
      </x:c>
      <x:c r="F156" s="15" t="str">
        <x:v>Revoke.</x:v>
      </x:c>
      <x:c r="G156" s="15" t="str">
        <x:v>Previously approved listings remain public.</x:v>
      </x:c>
      <x:c r="H156" s="15" t="str">
        <x:v>Admin</x:v>
      </x:c>
      <x:c r="I156" s="15" t="str">
        <x:v>E2E</x:v>
      </x:c>
      <x:c r="J156" s="15" t="str">
        <x:v>Automated</x:v>
      </x:c>
      <x:c r="K156" s="15" t="str">
        <x:v>P0</x:v>
      </x:c>
      <x:c r="L156" s="15" t="str">
        <x:v>Blocking</x:v>
      </x:c>
      <x:c r="M156" s="15" t="str">
        <x:v>L156-L165</x:v>
      </x:c>
      <x:c r="N156" s="15" t="str">
        <x:v>MODIFY</x:v>
      </x:c>
      <x:c r="O156" s="15" t="str">
        <x:v>Not Run</x:v>
      </x:c>
      <x:c r="P156" s="15" t="str"/>
    </x:row>
    <x:row r="157">
      <x:c r="A157" s="15" t="str">
        <x:v>VERIFY-012</x:v>
      </x:c>
      <x:c r="B157" s="15" t="str">
        <x:v>Stores</x:v>
      </x:c>
      <x:c r="C157" s="15" t="str">
        <x:v>Approval &amp; verification</x:v>
      </x:c>
      <x:c r="D157" s="15" t="str">
        <x:v>Exactly two public trust labels are used</x:v>
      </x:c>
      <x:c r="E157" s="15" t="str">
        <x:v>Normal and verified stores exist.</x:v>
      </x:c>
      <x:c r="F157" s="15" t="str">
        <x:v>Inspect public cards/pages.</x:v>
      </x:c>
      <x:c r="G157" s="15" t="str">
        <x:v>Only Tienda and Tienda Verificada semantics are presented.</x:v>
      </x:c>
      <x:c r="H157" s="15" t="str">
        <x:v>Anonymous</x:v>
      </x:c>
      <x:c r="I157" s="15" t="str">
        <x:v>Manual</x:v>
      </x:c>
      <x:c r="J157" s="15" t="str">
        <x:v>Manual</x:v>
      </x:c>
      <x:c r="K157" s="15" t="str">
        <x:v>P1</x:v>
      </x:c>
      <x:c r="L157" s="15" t="str">
        <x:v>Blocking</x:v>
      </x:c>
      <x:c r="M157" s="15" t="str">
        <x:v>L156-L165</x:v>
      </x:c>
      <x:c r="N157" s="15" t="str">
        <x:v>MODIFY</x:v>
      </x:c>
      <x:c r="O157" s="15" t="str">
        <x:v>Not Run</x:v>
      </x:c>
      <x:c r="P157" s="15" t="str"/>
    </x:row>
    <x:row r="158">
      <x:c r="A158" s="15" t="str">
        <x:v>VERIFY-013</x:v>
      </x:c>
      <x:c r="B158" s="15" t="str">
        <x:v>Stores</x:v>
      </x:c>
      <x:c r="C158" s="15" t="str">
        <x:v>Approval &amp; verification</x:v>
      </x:c>
      <x:c r="D158" s="15" t="str">
        <x:v>Verification UI does not imply payment guarantee</x:v>
      </x:c>
      <x:c r="E158" s="15" t="str">
        <x:v>Verified store.</x:v>
      </x:c>
      <x:c r="F158" s="15" t="str">
        <x:v>Inspect badge/help copy.</x:v>
      </x:c>
      <x:c r="G158" s="15" t="str">
        <x:v>Verification is framed as business identity/direct-publication trust, not transaction guarantee.</x:v>
      </x:c>
      <x:c r="H158" s="15" t="str">
        <x:v>Anonymous</x:v>
      </x:c>
      <x:c r="I158" s="15" t="str">
        <x:v>Manual</x:v>
      </x:c>
      <x:c r="J158" s="15" t="str">
        <x:v>Manual</x:v>
      </x:c>
      <x:c r="K158" s="15" t="str">
        <x:v>P0</x:v>
      </x:c>
      <x:c r="L158" s="15" t="str">
        <x:v>Blocking</x:v>
      </x:c>
      <x:c r="M158" s="15" t="str">
        <x:v>L156-L165</x:v>
      </x:c>
      <x:c r="N158" s="15" t="str">
        <x:v>MODIFY</x:v>
      </x:c>
      <x:c r="O158" s="15" t="str">
        <x:v>Not Run</x:v>
      </x:c>
      <x:c r="P158" s="15" t="str"/>
    </x:row>
    <x:row r="159">
      <x:c r="A159" s="15" t="str">
        <x:v>CAP-001</x:v>
      </x:c>
      <x:c r="B159" s="15" t="str">
        <x:v>Stores</x:v>
      </x:c>
      <x:c r="C159" s="15" t="str">
        <x:v>50 concurrent listing cap</x:v>
      </x:c>
      <x:c r="D159" s="15" t="str">
        <x:v>Store can have 50 concurrent pending/approved listings</x:v>
      </x:c>
      <x:c r="E159" s="15" t="str">
        <x:v>Store has 49 concurrent.</x:v>
      </x:c>
      <x:c r="F159" s="15" t="str">
        <x:v>Submit one valid listing.</x:v>
      </x:c>
      <x:c r="G159" s="15" t="str">
        <x:v>50th concurrent listing succeeds.</x:v>
      </x:c>
      <x:c r="H159" s="15" t="str">
        <x:v>Store Owner</x:v>
      </x:c>
      <x:c r="I159" s="15" t="str">
        <x:v>Integration</x:v>
      </x:c>
      <x:c r="J159" s="15" t="str">
        <x:v>Automated</x:v>
      </x:c>
      <x:c r="K159" s="15" t="str">
        <x:v>P0</x:v>
      </x:c>
      <x:c r="L159" s="15" t="str">
        <x:v>Blocking</x:v>
      </x:c>
      <x:c r="M159" s="15" t="str">
        <x:v>L167-L171</x:v>
      </x:c>
      <x:c r="N159" s="15" t="str">
        <x:v>BUILD</x:v>
      </x:c>
      <x:c r="O159" s="15" t="str">
        <x:v>Not Run</x:v>
      </x:c>
      <x:c r="P159" s="15" t="str"/>
    </x:row>
    <x:row r="160">
      <x:c r="A160" s="15" t="str">
        <x:v>CAP-002</x:v>
      </x:c>
      <x:c r="B160" s="15" t="str">
        <x:v>Stores</x:v>
      </x:c>
      <x:c r="C160" s="15" t="str">
        <x:v>50 concurrent listing cap</x:v>
      </x:c>
      <x:c r="D160" s="15" t="str">
        <x:v>51st concurrent listing is rejected gracefully</x:v>
      </x:c>
      <x:c r="E160" s="15" t="str">
        <x:v>Store has 50 concurrent.</x:v>
      </x:c>
      <x:c r="F160" s="15" t="str">
        <x:v>Submit another.</x:v>
      </x:c>
      <x:c r="G160" s="15" t="str">
        <x:v>Rejected with clear cap message; no partial finalization.</x:v>
      </x:c>
      <x:c r="H160" s="15" t="str">
        <x:v>Store Owner</x:v>
      </x:c>
      <x:c r="I160" s="15" t="str">
        <x:v>Integration</x:v>
      </x:c>
      <x:c r="J160" s="15" t="str">
        <x:v>Automated</x:v>
      </x:c>
      <x:c r="K160" s="15" t="str">
        <x:v>P0</x:v>
      </x:c>
      <x:c r="L160" s="15" t="str">
        <x:v>Blocking</x:v>
      </x:c>
      <x:c r="M160" s="15" t="str">
        <x:v>L167-L171</x:v>
      </x:c>
      <x:c r="N160" s="15" t="str">
        <x:v>BUILD</x:v>
      </x:c>
      <x:c r="O160" s="15" t="str">
        <x:v>Not Run</x:v>
      </x:c>
      <x:c r="P160" s="15" t="str"/>
    </x:row>
    <x:row r="161">
      <x:c r="A161" s="15" t="str">
        <x:v>CAP-003</x:v>
      </x:c>
      <x:c r="B161" s="15" t="str">
        <x:v>Stores</x:v>
      </x:c>
      <x:c r="C161" s="15" t="str">
        <x:v>50 concurrent listing cap</x:v>
      </x:c>
      <x:c r="D161" s="15" t="str">
        <x:v>Pending listings count toward cap</x:v>
      </x:c>
      <x:c r="E161" s="15" t="str">
        <x:v>Store near cap.</x:v>
      </x:c>
      <x:c r="F161" s="15" t="str">
        <x:v>Add pending listing then another.</x:v>
      </x:c>
      <x:c r="G161" s="15" t="str">
        <x:v>Pending contributes to concurrent count.</x:v>
      </x:c>
      <x:c r="H161" s="15" t="str">
        <x:v>Store Owner</x:v>
      </x:c>
      <x:c r="I161" s="15" t="str">
        <x:v>DB</x:v>
      </x:c>
      <x:c r="J161" s="15" t="str">
        <x:v>Automated</x:v>
      </x:c>
      <x:c r="K161" s="15" t="str">
        <x:v>P0</x:v>
      </x:c>
      <x:c r="L161" s="15" t="str">
        <x:v>Blocking</x:v>
      </x:c>
      <x:c r="M161" s="15" t="str">
        <x:v>L167-L171</x:v>
      </x:c>
      <x:c r="N161" s="15" t="str">
        <x:v>BUILD</x:v>
      </x:c>
      <x:c r="O161" s="15" t="str">
        <x:v>Not Run</x:v>
      </x:c>
      <x:c r="P161" s="15" t="str"/>
    </x:row>
    <x:row r="162">
      <x:c r="A162" s="15" t="str">
        <x:v>CAP-004</x:v>
      </x:c>
      <x:c r="B162" s="15" t="str">
        <x:v>Stores</x:v>
      </x:c>
      <x:c r="C162" s="15" t="str">
        <x:v>50 concurrent listing cap</x:v>
      </x:c>
      <x:c r="D162" s="15" t="str">
        <x:v>Approved listings count toward cap</x:v>
      </x:c>
      <x:c r="E162" s="15" t="str">
        <x:v>Store near cap.</x:v>
      </x:c>
      <x:c r="F162" s="15" t="str">
        <x:v>Approve inventory then submit.</x:v>
      </x:c>
      <x:c r="G162" s="15" t="str">
        <x:v>Approved contributes to cap.</x:v>
      </x:c>
      <x:c r="H162" s="15" t="str">
        <x:v>Store Owner</x:v>
      </x:c>
      <x:c r="I162" s="15" t="str">
        <x:v>DB</x:v>
      </x:c>
      <x:c r="J162" s="15" t="str">
        <x:v>Automated</x:v>
      </x:c>
      <x:c r="K162" s="15" t="str">
        <x:v>P0</x:v>
      </x:c>
      <x:c r="L162" s="15" t="str">
        <x:v>Blocking</x:v>
      </x:c>
      <x:c r="M162" s="15" t="str">
        <x:v>L167-L171</x:v>
      </x:c>
      <x:c r="N162" s="15" t="str">
        <x:v>BUILD</x:v>
      </x:c>
      <x:c r="O162" s="15" t="str">
        <x:v>Not Run</x:v>
      </x:c>
      <x:c r="P162" s="15" t="str"/>
    </x:row>
    <x:row r="163">
      <x:c r="A163" s="15" t="str">
        <x:v>CAP-005</x:v>
      </x:c>
      <x:c r="B163" s="15" t="str">
        <x:v>Stores</x:v>
      </x:c>
      <x:c r="C163" s="15" t="str">
        <x:v>50 concurrent listing cap</x:v>
      </x:c>
      <x:c r="D163" s="15" t="str">
        <x:v>Sold listings do not count</x:v>
      </x:c>
      <x:c r="E163" s="15" t="str">
        <x:v>Store at cap; mark one sold.</x:v>
      </x:c>
      <x:c r="F163" s="15" t="str">
        <x:v>Submit replacement.</x:v>
      </x:c>
      <x:c r="G163" s="15" t="str">
        <x:v>New slot is available.</x:v>
      </x:c>
      <x:c r="H163" s="15" t="str">
        <x:v>Store Owner</x:v>
      </x:c>
      <x:c r="I163" s="15" t="str">
        <x:v>Integration</x:v>
      </x:c>
      <x:c r="J163" s="15" t="str">
        <x:v>Automated</x:v>
      </x:c>
      <x:c r="K163" s="15" t="str">
        <x:v>P0</x:v>
      </x:c>
      <x:c r="L163" s="15" t="str">
        <x:v>Blocking</x:v>
      </x:c>
      <x:c r="M163" s="15" t="str">
        <x:v>L167-L171</x:v>
      </x:c>
      <x:c r="N163" s="15" t="str">
        <x:v>BUILD</x:v>
      </x:c>
      <x:c r="O163" s="15" t="str">
        <x:v>Not Run</x:v>
      </x:c>
      <x:c r="P163" s="15" t="str"/>
    </x:row>
    <x:row r="164">
      <x:c r="A164" s="15" t="str">
        <x:v>CAP-006</x:v>
      </x:c>
      <x:c r="B164" s="15" t="str">
        <x:v>Stores</x:v>
      </x:c>
      <x:c r="C164" s="15" t="str">
        <x:v>50 concurrent listing cap</x:v>
      </x:c>
      <x:c r="D164" s="15" t="str">
        <x:v>Rejected listings do not count</x:v>
      </x:c>
      <x:c r="E164" s="15" t="str">
        <x:v>Store has rejected inventory.</x:v>
      </x:c>
      <x:c r="F164" s="15" t="str">
        <x:v>Calculate/submit.</x:v>
      </x:c>
      <x:c r="G164" s="15" t="str">
        <x:v>Rejected rows do not consume concurrent capacity.</x:v>
      </x:c>
      <x:c r="H164" s="15" t="str">
        <x:v>Store Owner</x:v>
      </x:c>
      <x:c r="I164" s="15" t="str">
        <x:v>DB</x:v>
      </x:c>
      <x:c r="J164" s="15" t="str">
        <x:v>Automated</x:v>
      </x:c>
      <x:c r="K164" s="15" t="str">
        <x:v>P1</x:v>
      </x:c>
      <x:c r="L164" s="15" t="str">
        <x:v>Blocking</x:v>
      </x:c>
      <x:c r="M164" s="15" t="str">
        <x:v>L167-L171</x:v>
      </x:c>
      <x:c r="N164" s="15" t="str">
        <x:v>BUILD</x:v>
      </x:c>
      <x:c r="O164" s="15" t="str">
        <x:v>Not Run</x:v>
      </x:c>
      <x:c r="P164" s="15" t="str"/>
    </x:row>
    <x:row r="165">
      <x:c r="A165" s="15" t="str">
        <x:v>CAP-007</x:v>
      </x:c>
      <x:c r="B165" s="15" t="str">
        <x:v>Stores</x:v>
      </x:c>
      <x:c r="C165" s="15" t="str">
        <x:v>50 concurrent listing cap</x:v>
      </x:c>
      <x:c r="D165" s="15" t="str">
        <x:v>Archived listings do not count</x:v>
      </x:c>
      <x:c r="E165" s="15" t="str">
        <x:v>Store has archived inventory.</x:v>
      </x:c>
      <x:c r="F165" s="15" t="str">
        <x:v>Calculate/submit.</x:v>
      </x:c>
      <x:c r="G165" s="15" t="str">
        <x:v>Archived rows do not consume cap.</x:v>
      </x:c>
      <x:c r="H165" s="15" t="str">
        <x:v>Store Owner</x:v>
      </x:c>
      <x:c r="I165" s="15" t="str">
        <x:v>DB</x:v>
      </x:c>
      <x:c r="J165" s="15" t="str">
        <x:v>Automated</x:v>
      </x:c>
      <x:c r="K165" s="15" t="str">
        <x:v>P1</x:v>
      </x:c>
      <x:c r="L165" s="15" t="str">
        <x:v>Blocking</x:v>
      </x:c>
      <x:c r="M165" s="15" t="str">
        <x:v>L167-L171</x:v>
      </x:c>
      <x:c r="N165" s="15" t="str">
        <x:v>BUILD</x:v>
      </x:c>
      <x:c r="O165" s="15" t="str">
        <x:v>Not Run</x:v>
      </x:c>
      <x:c r="P165" s="15" t="str"/>
    </x:row>
    <x:row r="166">
      <x:c r="A166" s="15" t="str">
        <x:v>CAP-008</x:v>
      </x:c>
      <x:c r="B166" s="15" t="str">
        <x:v>Stores</x:v>
      </x:c>
      <x:c r="C166" s="15" t="str">
        <x:v>50 concurrent listing cap</x:v>
      </x:c>
      <x:c r="D166" s="15" t="str">
        <x:v>Hidden listings do not count while hidden</x:v>
      </x:c>
      <x:c r="E166" s="15" t="str">
        <x:v>Store at cap; hide one.</x:v>
      </x:c>
      <x:c r="F166" s="15" t="str">
        <x:v>Submit new.</x:v>
      </x:c>
      <x:c r="G166" s="15" t="str">
        <x:v>Hidden row frees a concurrent slot.</x:v>
      </x:c>
      <x:c r="H166" s="15" t="str">
        <x:v>Store Owner</x:v>
      </x:c>
      <x:c r="I166" s="15" t="str">
        <x:v>Integration</x:v>
      </x:c>
      <x:c r="J166" s="15" t="str">
        <x:v>Automated</x:v>
      </x:c>
      <x:c r="K166" s="15" t="str">
        <x:v>P0</x:v>
      </x:c>
      <x:c r="L166" s="15" t="str">
        <x:v>Blocking</x:v>
      </x:c>
      <x:c r="M166" s="15" t="str">
        <x:v>L167-L171</x:v>
      </x:c>
      <x:c r="N166" s="15" t="str">
        <x:v>BUILD</x:v>
      </x:c>
      <x:c r="O166" s="15" t="str">
        <x:v>Not Run</x:v>
      </x:c>
      <x:c r="P166" s="15" t="str"/>
    </x:row>
    <x:row r="167">
      <x:c r="A167" s="15" t="str">
        <x:v>CAP-009</x:v>
      </x:c>
      <x:c r="B167" s="15" t="str">
        <x:v>Stores</x:v>
      </x:c>
      <x:c r="C167" s="15" t="str">
        <x:v>50 concurrent listing cap</x:v>
      </x:c>
      <x:c r="D167" s="15" t="str">
        <x:v>Restoring hidden listing fails at full cap</x:v>
      </x:c>
      <x:c r="E167" s="15" t="str">
        <x:v>Store has 50 concurrent plus hidden listing.</x:v>
      </x:c>
      <x:c r="F167" s="15" t="str">
        <x:v>Attempt restore hidden.</x:v>
      </x:c>
      <x:c r="G167" s="15" t="str">
        <x:v>Restore fails gracefully without exceeding 50.</x:v>
      </x:c>
      <x:c r="H167" s="15" t="str">
        <x:v>Store Owner</x:v>
      </x:c>
      <x:c r="I167" s="15" t="str">
        <x:v>Integration</x:v>
      </x:c>
      <x:c r="J167" s="15" t="str">
        <x:v>Automated</x:v>
      </x:c>
      <x:c r="K167" s="15" t="str">
        <x:v>P0</x:v>
      </x:c>
      <x:c r="L167" s="15" t="str">
        <x:v>Blocking</x:v>
      </x:c>
      <x:c r="M167" s="15" t="str">
        <x:v>L167-L171</x:v>
      </x:c>
      <x:c r="N167" s="15" t="str">
        <x:v>BUILD</x:v>
      </x:c>
      <x:c r="O167" s="15" t="str">
        <x:v>Not Run</x:v>
      </x:c>
      <x:c r="P167" s="15" t="str"/>
    </x:row>
    <x:row r="168">
      <x:c r="A168" s="15" t="str">
        <x:v>CAP-010</x:v>
      </x:c>
      <x:c r="B168" s="15" t="str">
        <x:v>Stores</x:v>
      </x:c>
      <x:c r="C168" s="15" t="str">
        <x:v>50 concurrent listing cap</x:v>
      </x:c>
      <x:c r="D168" s="15" t="str">
        <x:v>Concurrent submissions cannot exceed 50</x:v>
      </x:c>
      <x:c r="E168" s="15" t="str">
        <x:v>Store at 49; two simultaneous submissions.</x:v>
      </x:c>
      <x:c r="F168" s="15" t="str">
        <x:v>Submit concurrently.</x:v>
      </x:c>
      <x:c r="G168" s="15" t="str">
        <x:v>Atomic enforcement permits at most one additional concurrent listing.</x:v>
      </x:c>
      <x:c r="H168" s="15" t="str">
        <x:v>Store Owner</x:v>
      </x:c>
      <x:c r="I168" s="15" t="str">
        <x:v>DB/Concurrency</x:v>
      </x:c>
      <x:c r="J168" s="15" t="str">
        <x:v>Automated</x:v>
      </x:c>
      <x:c r="K168" s="15" t="str">
        <x:v>P0</x:v>
      </x:c>
      <x:c r="L168" s="15" t="str">
        <x:v>Blocking</x:v>
      </x:c>
      <x:c r="M168" s="15" t="str">
        <x:v>L167-L171</x:v>
      </x:c>
      <x:c r="N168" s="15" t="str">
        <x:v>BUILD</x:v>
      </x:c>
      <x:c r="O168" s="15" t="str">
        <x:v>Not Run</x:v>
      </x:c>
      <x:c r="P168" s="15" t="str"/>
    </x:row>
    <x:row r="169">
      <x:c r="A169" s="15" t="str">
        <x:v>CAP-011</x:v>
      </x:c>
      <x:c r="B169" s="15" t="str">
        <x:v>Stores</x:v>
      </x:c>
      <x:c r="C169" s="15" t="str">
        <x:v>50 concurrent listing cap</x:v>
      </x:c>
      <x:c r="D169" s="15" t="str">
        <x:v>Verification auto-approval cannot bypass cap invariant</x:v>
      </x:c>
      <x:c r="E169" s="15" t="str">
        <x:v>Pending/approved mix near cap.</x:v>
      </x:c>
      <x:c r="F169" s="15" t="str">
        <x:v>Verify store.</x:v>
      </x:c>
      <x:c r="G169" s="15" t="str">
        <x:v>Result never creates &gt;50 concurrent eligible rows unexpectedly.</x:v>
      </x:c>
      <x:c r="H169" s="15" t="str">
        <x:v>Admin</x:v>
      </x:c>
      <x:c r="I169" s="15" t="str">
        <x:v>DB/Concurrency</x:v>
      </x:c>
      <x:c r="J169" s="15" t="str">
        <x:v>Automated</x:v>
      </x:c>
      <x:c r="K169" s="15" t="str">
        <x:v>P0</x:v>
      </x:c>
      <x:c r="L169" s="15" t="str">
        <x:v>Blocking</x:v>
      </x:c>
      <x:c r="M169" s="15" t="str">
        <x:v>L167-L171</x:v>
      </x:c>
      <x:c r="N169" s="15" t="str">
        <x:v>BUILD</x:v>
      </x:c>
      <x:c r="O169" s="15" t="str">
        <x:v>Not Run</x:v>
      </x:c>
      <x:c r="P169" s="15" t="str"/>
    </x:row>
    <x:row r="170">
      <x:c r="A170" s="15" t="str">
        <x:v>SDASH-001</x:v>
      </x:c>
      <x:c r="B170" s="15" t="str">
        <x:v>Store Dashboard</x:v>
      </x:c>
      <x:c r="C170" s="15" t="str">
        <x:v>Management &amp; analytics</x:v>
      </x:c>
      <x:c r="D170" s="15" t="str">
        <x:v>Store owner sees own store profile and inventory</x:v>
      </x:c>
      <x:c r="E170" s="15" t="str">
        <x:v>Owned store exists.</x:v>
      </x:c>
      <x:c r="F170" s="15" t="str">
        <x:v>Open dashboard.</x:v>
      </x:c>
      <x:c r="G170" s="15" t="str">
        <x:v>Correct store and all manageable inventory states shown.</x:v>
      </x:c>
      <x:c r="H170" s="15" t="str">
        <x:v>Store Owner</x:v>
      </x:c>
      <x:c r="I170" s="15" t="str">
        <x:v>E2E</x:v>
      </x:c>
      <x:c r="J170" s="15" t="str">
        <x:v>Automated</x:v>
      </x:c>
      <x:c r="K170" s="15" t="str">
        <x:v>P0</x:v>
      </x:c>
      <x:c r="L170" s="15" t="str">
        <x:v>Blocking</x:v>
      </x:c>
      <x:c r="M170" s="15" t="str">
        <x:v>L173-L177</x:v>
      </x:c>
      <x:c r="N170" s="15" t="str">
        <x:v>BUILD</x:v>
      </x:c>
      <x:c r="O170" s="15" t="str">
        <x:v>Not Run</x:v>
      </x:c>
      <x:c r="P170" s="15" t="str"/>
    </x:row>
    <x:row r="171">
      <x:c r="A171" s="15" t="str">
        <x:v>SDASH-002</x:v>
      </x:c>
      <x:c r="B171" s="15" t="str">
        <x:v>Store Dashboard</x:v>
      </x:c>
      <x:c r="C171" s="15" t="str">
        <x:v>Management &amp; analytics</x:v>
      </x:c>
      <x:c r="D171" s="15" t="str">
        <x:v>Store owner can edit allowed business/contact fields</x:v>
      </x:c>
      <x:c r="E171" s="15" t="str">
        <x:v>Owned store.</x:v>
      </x:c>
      <x:c r="F171" s="15" t="str">
        <x:v>Edit allowed profile fields.</x:v>
      </x:c>
      <x:c r="G171" s="15" t="str">
        <x:v>Changes persist; protected admin fields cannot be changed.</x:v>
      </x:c>
      <x:c r="H171" s="15" t="str">
        <x:v>Store Owner</x:v>
      </x:c>
      <x:c r="I171" s="15" t="str">
        <x:v>E2E</x:v>
      </x:c>
      <x:c r="J171" s="15" t="str">
        <x:v>Automated</x:v>
      </x:c>
      <x:c r="K171" s="15" t="str">
        <x:v>P0</x:v>
      </x:c>
      <x:c r="L171" s="15" t="str">
        <x:v>Blocking</x:v>
      </x:c>
      <x:c r="M171" s="15" t="str">
        <x:v>L173-L177</x:v>
      </x:c>
      <x:c r="N171" s="15" t="str">
        <x:v>BUILD</x:v>
      </x:c>
      <x:c r="O171" s="15" t="str">
        <x:v>Not Run</x:v>
      </x:c>
      <x:c r="P171" s="15" t="str"/>
    </x:row>
    <x:row r="172">
      <x:c r="A172" s="15" t="str">
        <x:v>SDASH-003</x:v>
      </x:c>
      <x:c r="B172" s="15" t="str">
        <x:v>Store Dashboard</x:v>
      </x:c>
      <x:c r="C172" s="15" t="str">
        <x:v>Management &amp; analytics</x:v>
      </x:c>
      <x:c r="D172" s="15" t="str">
        <x:v>Store owner can manage logo/banner/photos/social links</x:v>
      </x:c>
      <x:c r="E172" s="15" t="str">
        <x:v>Owned store.</x:v>
      </x:c>
      <x:c r="F172" s="15" t="str">
        <x:v>Add/change/remove supported optional assets/links.</x:v>
      </x:c>
      <x:c r="G172" s="15" t="str">
        <x:v>Changes persist within allowed rules.</x:v>
      </x:c>
      <x:c r="H172" s="15" t="str">
        <x:v>Store Owner</x:v>
      </x:c>
      <x:c r="I172" s="15" t="str">
        <x:v>E2E</x:v>
      </x:c>
      <x:c r="J172" s="15" t="str">
        <x:v>Automated</x:v>
      </x:c>
      <x:c r="K172" s="15" t="str">
        <x:v>P1</x:v>
      </x:c>
      <x:c r="L172" s="15" t="str">
        <x:v>Blocking</x:v>
      </x:c>
      <x:c r="M172" s="15" t="str">
        <x:v>L173-L177</x:v>
      </x:c>
      <x:c r="N172" s="15" t="str">
        <x:v>BUILD</x:v>
      </x:c>
      <x:c r="O172" s="15" t="str">
        <x:v>Not Run</x:v>
      </x:c>
      <x:c r="P172" s="15" t="str"/>
    </x:row>
    <x:row r="173">
      <x:c r="A173" s="15" t="str">
        <x:v>SDASH-004</x:v>
      </x:c>
      <x:c r="B173" s="15" t="str">
        <x:v>Store Dashboard</x:v>
      </x:c>
      <x:c r="C173" s="15" t="str">
        <x:v>Management &amp; analytics</x:v>
      </x:c>
      <x:c r="D173" s="15" t="str">
        <x:v>Store owner sees moderation reasons</x:v>
      </x:c>
      <x:c r="E173" s="15" t="str">
        <x:v>Rejected/pending items with reasons.</x:v>
      </x:c>
      <x:c r="F173" s="15" t="str">
        <x:v>Open dashboard.</x:v>
      </x:c>
      <x:c r="G173" s="15" t="str">
        <x:v>Reasons/statuses visible.</x:v>
      </x:c>
      <x:c r="H173" s="15" t="str">
        <x:v>Store Owner</x:v>
      </x:c>
      <x:c r="I173" s="15" t="str">
        <x:v>E2E</x:v>
      </x:c>
      <x:c r="J173" s="15" t="str">
        <x:v>Automated</x:v>
      </x:c>
      <x:c r="K173" s="15" t="str">
        <x:v>P0</x:v>
      </x:c>
      <x:c r="L173" s="15" t="str">
        <x:v>Blocking</x:v>
      </x:c>
      <x:c r="M173" s="15" t="str">
        <x:v>L173-L177</x:v>
      </x:c>
      <x:c r="N173" s="15" t="str">
        <x:v>BUILD</x:v>
      </x:c>
      <x:c r="O173" s="15" t="str">
        <x:v>Not Run</x:v>
      </x:c>
      <x:c r="P173" s="15" t="str"/>
    </x:row>
    <x:row r="174">
      <x:c r="A174" s="15" t="str">
        <x:v>SDASH-005</x:v>
      </x:c>
      <x:c r="B174" s="15" t="str">
        <x:v>Store Dashboard</x:v>
      </x:c>
      <x:c r="C174" s="15" t="str">
        <x:v>Management &amp; analytics</x:v>
      </x:c>
      <x:c r="D174" s="15" t="str">
        <x:v>Store owner can mark listing sold</x:v>
      </x:c>
      <x:c r="E174" s="15" t="str">
        <x:v>Owned approved store listing.</x:v>
      </x:c>
      <x:c r="F174" s="15" t="str">
        <x:v>Mark sold.</x:v>
      </x:c>
      <x:c r="G174" s="15" t="str">
        <x:v>Lifecycle updates correctly.</x:v>
      </x:c>
      <x:c r="H174" s="15" t="str">
        <x:v>Store Owner</x:v>
      </x:c>
      <x:c r="I174" s="15" t="str">
        <x:v>E2E</x:v>
      </x:c>
      <x:c r="J174" s="15" t="str">
        <x:v>Automated</x:v>
      </x:c>
      <x:c r="K174" s="15" t="str">
        <x:v>P0</x:v>
      </x:c>
      <x:c r="L174" s="15" t="str">
        <x:v>Blocking</x:v>
      </x:c>
      <x:c r="M174" s="15" t="str">
        <x:v>L173-L177</x:v>
      </x:c>
      <x:c r="N174" s="15" t="str">
        <x:v>BUILD</x:v>
      </x:c>
      <x:c r="O174" s="15" t="str">
        <x:v>Not Run</x:v>
      </x:c>
      <x:c r="P174" s="15" t="str"/>
    </x:row>
    <x:row r="175">
      <x:c r="A175" s="15" t="str">
        <x:v>SDASH-006</x:v>
      </x:c>
      <x:c r="B175" s="15" t="str">
        <x:v>Store Dashboard</x:v>
      </x:c>
      <x:c r="C175" s="15" t="str">
        <x:v>Management &amp; analytics</x:v>
      </x:c>
      <x:c r="D175" s="15" t="str">
        <x:v>Store owner can hide/unpublish listing</x:v>
      </x:c>
      <x:c r="E175" s="15" t="str">
        <x:v>Owned approved listing.</x:v>
      </x:c>
      <x:c r="F175" s="15" t="str">
        <x:v>Hide.</x:v>
      </x:c>
      <x:c r="G175" s="15" t="str">
        <x:v>Public inventory updates correctly.</x:v>
      </x:c>
      <x:c r="H175" s="15" t="str">
        <x:v>Store Owner</x:v>
      </x:c>
      <x:c r="I175" s="15" t="str">
        <x:v>E2E</x:v>
      </x:c>
      <x:c r="J175" s="15" t="str">
        <x:v>Automated</x:v>
      </x:c>
      <x:c r="K175" s="15" t="str">
        <x:v>P1</x:v>
      </x:c>
      <x:c r="L175" s="15" t="str">
        <x:v>Blocking</x:v>
      </x:c>
      <x:c r="M175" s="15" t="str">
        <x:v>L173-L177</x:v>
      </x:c>
      <x:c r="N175" s="15" t="str">
        <x:v>BUILD</x:v>
      </x:c>
      <x:c r="O175" s="15" t="str">
        <x:v>Not Run</x:v>
      </x:c>
      <x:c r="P175" s="15" t="str"/>
    </x:row>
    <x:row r="176">
      <x:c r="A176" s="15" t="str">
        <x:v>SDASH-007</x:v>
      </x:c>
      <x:c r="B176" s="15" t="str">
        <x:v>Store Dashboard</x:v>
      </x:c>
      <x:c r="C176" s="15" t="str">
        <x:v>Management &amp; analytics</x:v>
      </x:c>
      <x:c r="D176" s="15" t="str">
        <x:v>Store owner can relist sold item</x:v>
      </x:c>
      <x:c r="E176" s="15" t="str">
        <x:v>Sold store listing.</x:v>
      </x:c>
      <x:c r="F176" s="15" t="str">
        <x:v>Relist.</x:v>
      </x:c>
      <x:c r="G176" s="15" t="str">
        <x:v>Copy behavior respects Tienda/Verificada moderation rules.</x:v>
      </x:c>
      <x:c r="H176" s="15" t="str">
        <x:v>Store Owner</x:v>
      </x:c>
      <x:c r="I176" s="15" t="str">
        <x:v>E2E</x:v>
      </x:c>
      <x:c r="J176" s="15" t="str">
        <x:v>Automated</x:v>
      </x:c>
      <x:c r="K176" s="15" t="str">
        <x:v>P0</x:v>
      </x:c>
      <x:c r="L176" s="15" t="str">
        <x:v>Blocking</x:v>
      </x:c>
      <x:c r="M176" s="15" t="str">
        <x:v>L173-L177</x:v>
      </x:c>
      <x:c r="N176" s="15" t="str">
        <x:v>BUILD</x:v>
      </x:c>
      <x:c r="O176" s="15" t="str">
        <x:v>Not Run</x:v>
      </x:c>
      <x:c r="P176" s="15" t="str"/>
    </x:row>
    <x:row r="177">
      <x:c r="A177" s="15" t="str">
        <x:v>SDASH-008</x:v>
      </x:c>
      <x:c r="B177" s="15" t="str">
        <x:v>Store Dashboard</x:v>
      </x:c>
      <x:c r="C177" s="15" t="str">
        <x:v>Management &amp; analytics</x:v>
      </x:c>
      <x:c r="D177" s="15" t="str">
        <x:v>Store analytics totals match listing event data</x:v>
      </x:c>
      <x:c r="E177" s="15" t="str">
        <x:v>Store with events.</x:v>
      </x:c>
      <x:c r="F177" s="15" t="str">
        <x:v>Open aggregate analytics.</x:v>
      </x:c>
      <x:c r="G177" s="15" t="str">
        <x:v>Impressions/views/favorites/contacts/sold totals reconcile.</x:v>
      </x:c>
      <x:c r="H177" s="15" t="str">
        <x:v>Store Owner</x:v>
      </x:c>
      <x:c r="I177" s="15" t="str">
        <x:v>Integration</x:v>
      </x:c>
      <x:c r="J177" s="15" t="str">
        <x:v>Automated</x:v>
      </x:c>
      <x:c r="K177" s="15" t="str">
        <x:v>P0</x:v>
      </x:c>
      <x:c r="L177" s="15" t="str">
        <x:v>Blocking</x:v>
      </x:c>
      <x:c r="M177" s="15" t="str">
        <x:v>L173-L177</x:v>
      </x:c>
      <x:c r="N177" s="15" t="str">
        <x:v>BUILD</x:v>
      </x:c>
      <x:c r="O177" s="15" t="str">
        <x:v>Not Run</x:v>
      </x:c>
      <x:c r="P177" s="15" t="str"/>
    </x:row>
    <x:row r="178">
      <x:c r="A178" s="15" t="str">
        <x:v>SDASH-009</x:v>
      </x:c>
      <x:c r="B178" s="15" t="str">
        <x:v>Store Dashboard</x:v>
      </x:c>
      <x:c r="C178" s="15" t="str">
        <x:v>Management &amp; analytics</x:v>
      </x:c>
      <x:c r="D178" s="15" t="str">
        <x:v>Store conversion ratios use meaningful denominators</x:v>
      </x:c>
      <x:c r="E178" s="15" t="str">
        <x:v>Store with known event counts.</x:v>
      </x:c>
      <x:c r="F178" s="15" t="str">
        <x:v>Inspect conversion metrics.</x:v>
      </x:c>
      <x:c r="G178" s="15" t="str">
        <x:v>Ratios are mathematically consistent and avoid divide-by-zero errors.</x:v>
      </x:c>
      <x:c r="H178" s="15" t="str">
        <x:v>Store Owner</x:v>
      </x:c>
      <x:c r="I178" s="15" t="str">
        <x:v>Unit/Integration</x:v>
      </x:c>
      <x:c r="J178" s="15" t="str">
        <x:v>Automated</x:v>
      </x:c>
      <x:c r="K178" s="15" t="str">
        <x:v>P1</x:v>
      </x:c>
      <x:c r="L178" s="15" t="str">
        <x:v>Blocking</x:v>
      </x:c>
      <x:c r="M178" s="15" t="str">
        <x:v>L173-L177</x:v>
      </x:c>
      <x:c r="N178" s="15" t="str">
        <x:v>BUILD</x:v>
      </x:c>
      <x:c r="O178" s="15" t="str">
        <x:v>Not Run</x:v>
      </x:c>
      <x:c r="P178" s="15" t="str"/>
    </x:row>
    <x:row r="179">
      <x:c r="A179" s="15" t="str">
        <x:v>SDASH-010</x:v>
      </x:c>
      <x:c r="B179" s="15" t="str">
        <x:v>Store Dashboard</x:v>
      </x:c>
      <x:c r="C179" s="15" t="str">
        <x:v>Management &amp; analytics</x:v>
      </x:c>
      <x:c r="D179" s="15" t="str">
        <x:v>Store dashboard never invents revenue</x:v>
      </x:c>
      <x:c r="E179" s="15" t="str">
        <x:v>Off-platform sales only.</x:v>
      </x:c>
      <x:c r="F179" s="15" t="str">
        <x:v>Inspect dashboard.</x:v>
      </x:c>
      <x:c r="G179" s="15" t="str">
        <x:v>No revenue/GMV figures are fabricated.</x:v>
      </x:c>
      <x:c r="H179" s="15" t="str">
        <x:v>Store Owner</x:v>
      </x:c>
      <x:c r="I179" s="15" t="str">
        <x:v>Manual</x:v>
      </x:c>
      <x:c r="J179" s="15" t="str">
        <x:v>Manual</x:v>
      </x:c>
      <x:c r="K179" s="15" t="str">
        <x:v>P0</x:v>
      </x:c>
      <x:c r="L179" s="15" t="str">
        <x:v>Blocking</x:v>
      </x:c>
      <x:c r="M179" s="15" t="str">
        <x:v>L173-L177</x:v>
      </x:c>
      <x:c r="N179" s="15" t="str">
        <x:v>BUILD</x:v>
      </x:c>
      <x:c r="O179" s="15" t="str">
        <x:v>Not Run</x:v>
      </x:c>
      <x:c r="P179" s="15" t="str"/>
    </x:row>
    <x:row r="180">
      <x:c r="A180" s="15" t="str">
        <x:v>FAV-001</x:v>
      </x:c>
      <x:c r="B180" s="15" t="str">
        <x:v>Buyer Features</x:v>
      </x:c>
      <x:c r="C180" s="15" t="str">
        <x:v>Favorites</x:v>
      </x:c>
      <x:c r="D180" s="15" t="str">
        <x:v>Authenticated user can favorite approved listing</x:v>
      </x:c>
      <x:c r="E180" s="15" t="str">
        <x:v>Logged-in Particular; approved listing.</x:v>
      </x:c>
      <x:c r="F180" s="15" t="str">
        <x:v>Click favorite.</x:v>
      </x:c>
      <x:c r="G180" s="15" t="str">
        <x:v>Favorite persists and UI reflects saved state.</x:v>
      </x:c>
      <x:c r="H180" s="15" t="str">
        <x:v>Particular</x:v>
      </x:c>
      <x:c r="I180" s="15" t="str">
        <x:v>E2E</x:v>
      </x:c>
      <x:c r="J180" s="15" t="str">
        <x:v>Automated</x:v>
      </x:c>
      <x:c r="K180" s="15" t="str">
        <x:v>P0</x:v>
      </x:c>
      <x:c r="L180" s="15" t="str">
        <x:v>Blocking</x:v>
      </x:c>
      <x:c r="M180" s="15" t="str">
        <x:v>L179-L187</x:v>
      </x:c>
      <x:c r="N180" s="15" t="str">
        <x:v>BUILD</x:v>
      </x:c>
      <x:c r="O180" s="15" t="str">
        <x:v>Not Run</x:v>
      </x:c>
      <x:c r="P180" s="15" t="str"/>
    </x:row>
    <x:row r="181">
      <x:c r="A181" s="15" t="str">
        <x:v>FAV-002</x:v>
      </x:c>
      <x:c r="B181" s="15" t="str">
        <x:v>Buyer Features</x:v>
      </x:c>
      <x:c r="C181" s="15" t="str">
        <x:v>Favorites</x:v>
      </x:c>
      <x:c r="D181" s="15" t="str">
        <x:v>Authenticated user can unfavorite listing</x:v>
      </x:c>
      <x:c r="E181" s="15" t="str">
        <x:v>Favorite exists.</x:v>
      </x:c>
      <x:c r="F181" s="15" t="str">
        <x:v>Remove favorite.</x:v>
      </x:c>
      <x:c r="G181" s="15" t="str">
        <x:v>Favorite row/state removed.</x:v>
      </x:c>
      <x:c r="H181" s="15" t="str">
        <x:v>Particular</x:v>
      </x:c>
      <x:c r="I181" s="15" t="str">
        <x:v>E2E</x:v>
      </x:c>
      <x:c r="J181" s="15" t="str">
        <x:v>Automated</x:v>
      </x:c>
      <x:c r="K181" s="15" t="str">
        <x:v>P1</x:v>
      </x:c>
      <x:c r="L181" s="15" t="str">
        <x:v>Blocking</x:v>
      </x:c>
      <x:c r="M181" s="15" t="str">
        <x:v>L179-L187</x:v>
      </x:c>
      <x:c r="N181" s="15" t="str">
        <x:v>BUILD</x:v>
      </x:c>
      <x:c r="O181" s="15" t="str">
        <x:v>Not Run</x:v>
      </x:c>
      <x:c r="P181" s="15" t="str"/>
    </x:row>
    <x:row r="182">
      <x:c r="A182" s="15" t="str">
        <x:v>FAV-003</x:v>
      </x:c>
      <x:c r="B182" s="15" t="str">
        <x:v>Buyer Features</x:v>
      </x:c>
      <x:c r="C182" s="15" t="str">
        <x:v>Favorites</x:v>
      </x:c>
      <x:c r="D182" s="15" t="str">
        <x:v>Anonymous favorite action prompts/requires account</x:v>
      </x:c>
      <x:c r="E182" s="15" t="str">
        <x:v>No session.</x:v>
      </x:c>
      <x:c r="F182" s="15" t="str">
        <x:v>Attempt favorite.</x:v>
      </x:c>
      <x:c r="G182" s="15" t="str">
        <x:v>No anonymous persistent favorite is created; user is guided to login.</x:v>
      </x:c>
      <x:c r="H182" s="15" t="str">
        <x:v>Anonymous</x:v>
      </x:c>
      <x:c r="I182" s="15" t="str">
        <x:v>E2E</x:v>
      </x:c>
      <x:c r="J182" s="15" t="str">
        <x:v>Automated</x:v>
      </x:c>
      <x:c r="K182" s="15" t="str">
        <x:v>P0</x:v>
      </x:c>
      <x:c r="L182" s="15" t="str">
        <x:v>Blocking</x:v>
      </x:c>
      <x:c r="M182" s="15" t="str">
        <x:v>L179-L187</x:v>
      </x:c>
      <x:c r="N182" s="15" t="str">
        <x:v>BUILD</x:v>
      </x:c>
      <x:c r="O182" s="15" t="str">
        <x:v>Not Run</x:v>
      </x:c>
      <x:c r="P182" s="15" t="str"/>
    </x:row>
    <x:row r="183">
      <x:c r="A183" s="15" t="str">
        <x:v>FAV-004</x:v>
      </x:c>
      <x:c r="B183" s="15" t="str">
        <x:v>Buyer Features</x:v>
      </x:c>
      <x:c r="C183" s="15" t="str">
        <x:v>Favorites</x:v>
      </x:c>
      <x:c r="D183" s="15" t="str">
        <x:v>Duplicate favorite action is idempotent</x:v>
      </x:c>
      <x:c r="E183" s="15" t="str">
        <x:v>Favorite already exists.</x:v>
      </x:c>
      <x:c r="F183" s="15" t="str">
        <x:v>Repeat add/request.</x:v>
      </x:c>
      <x:c r="G183" s="15" t="str">
        <x:v>Only one favorite relation exists.</x:v>
      </x:c>
      <x:c r="H183" s="15" t="str">
        <x:v>Particular</x:v>
      </x:c>
      <x:c r="I183" s="15" t="str">
        <x:v>DB/API</x:v>
      </x:c>
      <x:c r="J183" s="15" t="str">
        <x:v>Automated</x:v>
      </x:c>
      <x:c r="K183" s="15" t="str">
        <x:v>P1</x:v>
      </x:c>
      <x:c r="L183" s="15" t="str">
        <x:v>Blocking</x:v>
      </x:c>
      <x:c r="M183" s="15" t="str">
        <x:v>L179-L187</x:v>
      </x:c>
      <x:c r="N183" s="15" t="str">
        <x:v>BUILD</x:v>
      </x:c>
      <x:c r="O183" s="15" t="str">
        <x:v>Not Run</x:v>
      </x:c>
      <x:c r="P183" s="15" t="str"/>
    </x:row>
    <x:row r="184">
      <x:c r="A184" s="15" t="str">
        <x:v>FAV-005</x:v>
      </x:c>
      <x:c r="B184" s="15" t="str">
        <x:v>Buyer Features</x:v>
      </x:c>
      <x:c r="C184" s="15" t="str">
        <x:v>Favorites</x:v>
      </x:c>
      <x:c r="D184" s="15" t="str">
        <x:v>Favorites account view lists saved items</x:v>
      </x:c>
      <x:c r="E184" s="15" t="str">
        <x:v>User has favorites.</x:v>
      </x:c>
      <x:c r="F184" s="15" t="str">
        <x:v>Open favorites.</x:v>
      </x:c>
      <x:c r="G184" s="15" t="str">
        <x:v>Saved listings shown accurately.</x:v>
      </x:c>
      <x:c r="H184" s="15" t="str">
        <x:v>Particular</x:v>
      </x:c>
      <x:c r="I184" s="15" t="str">
        <x:v>E2E</x:v>
      </x:c>
      <x:c r="J184" s="15" t="str">
        <x:v>Automated</x:v>
      </x:c>
      <x:c r="K184" s="15" t="str">
        <x:v>P0</x:v>
      </x:c>
      <x:c r="L184" s="15" t="str">
        <x:v>Blocking</x:v>
      </x:c>
      <x:c r="M184" s="15" t="str">
        <x:v>L179-L187</x:v>
      </x:c>
      <x:c r="N184" s="15" t="str">
        <x:v>BUILD</x:v>
      </x:c>
      <x:c r="O184" s="15" t="str">
        <x:v>Not Run</x:v>
      </x:c>
      <x:c r="P184" s="15" t="str"/>
    </x:row>
    <x:row r="185">
      <x:c r="A185" s="15" t="str">
        <x:v>FAV-006</x:v>
      </x:c>
      <x:c r="B185" s="15" t="str">
        <x:v>Buyer Features</x:v>
      </x:c>
      <x:c r="C185" s="15" t="str">
        <x:v>Favorites</x:v>
      </x:c>
      <x:c r="D185" s="15" t="str">
        <x:v>Favorite state appears on listing detail</x:v>
      </x:c>
      <x:c r="E185" s="15" t="str">
        <x:v>Favorite exists.</x:v>
      </x:c>
      <x:c r="F185" s="15" t="str">
        <x:v>Open detail.</x:v>
      </x:c>
      <x:c r="G185" s="15" t="str">
        <x:v>Control reflects favorited state.</x:v>
      </x:c>
      <x:c r="H185" s="15" t="str">
        <x:v>Particular</x:v>
      </x:c>
      <x:c r="I185" s="15" t="str">
        <x:v>E2E</x:v>
      </x:c>
      <x:c r="J185" s="15" t="str">
        <x:v>Automated</x:v>
      </x:c>
      <x:c r="K185" s="15" t="str">
        <x:v>P1</x:v>
      </x:c>
      <x:c r="L185" s="15" t="str">
        <x:v>Blocking</x:v>
      </x:c>
      <x:c r="M185" s="15" t="str">
        <x:v>L179-L187</x:v>
      </x:c>
      <x:c r="N185" s="15" t="str">
        <x:v>BUILD</x:v>
      </x:c>
      <x:c r="O185" s="15" t="str">
        <x:v>Not Run</x:v>
      </x:c>
      <x:c r="P185" s="15" t="str"/>
    </x:row>
    <x:row r="186">
      <x:c r="A186" s="15" t="str">
        <x:v>FAV-007</x:v>
      </x:c>
      <x:c r="B186" s="15" t="str">
        <x:v>Buyer Features</x:v>
      </x:c>
      <x:c r="C186" s="15" t="str">
        <x:v>Favorites</x:v>
      </x:c>
      <x:c r="D186" s="15" t="str">
        <x:v>Favorite state appears on supported listing cards</x:v>
      </x:c>
      <x:c r="E186" s="15" t="str">
        <x:v>Favorite exists.</x:v>
      </x:c>
      <x:c r="F186" s="15" t="str">
        <x:v>Browse catalog.</x:v>
      </x:c>
      <x:c r="G186" s="15" t="str">
        <x:v>Supported cards reflect favorited state.</x:v>
      </x:c>
      <x:c r="H186" s="15" t="str">
        <x:v>Particular</x:v>
      </x:c>
      <x:c r="I186" s="15" t="str">
        <x:v>E2E</x:v>
      </x:c>
      <x:c r="J186" s="15" t="str">
        <x:v>Automated</x:v>
      </x:c>
      <x:c r="K186" s="15" t="str">
        <x:v>P1</x:v>
      </x:c>
      <x:c r="L186" s="15" t="str">
        <x:v>Blocking</x:v>
      </x:c>
      <x:c r="M186" s="15" t="str">
        <x:v>L179-L187</x:v>
      </x:c>
      <x:c r="N186" s="15" t="str">
        <x:v>BUILD</x:v>
      </x:c>
      <x:c r="O186" s="15" t="str">
        <x:v>Not Run</x:v>
      </x:c>
      <x:c r="P186" s="15" t="str"/>
    </x:row>
    <x:row r="187">
      <x:c r="A187" s="15" t="str">
        <x:v>FAV-008</x:v>
      </x:c>
      <x:c r="B187" s="15" t="str">
        <x:v>Buyer Features</x:v>
      </x:c>
      <x:c r="C187" s="15" t="str">
        <x:v>Favorites</x:v>
      </x:c>
      <x:c r="D187" s="15" t="str">
        <x:v>Sold favorite remains in history with sold state</x:v>
      </x:c>
      <x:c r="E187" s="15" t="str">
        <x:v>Favorited listing becomes sold.</x:v>
      </x:c>
      <x:c r="F187" s="15" t="str">
        <x:v>Open favorites.</x:v>
      </x:c>
      <x:c r="G187" s="15" t="str">
        <x:v>Item remains recognizable and marked unavailable/sold.</x:v>
      </x:c>
      <x:c r="H187" s="15" t="str">
        <x:v>Particular</x:v>
      </x:c>
      <x:c r="I187" s="15" t="str">
        <x:v>E2E</x:v>
      </x:c>
      <x:c r="J187" s="15" t="str">
        <x:v>Automated</x:v>
      </x:c>
      <x:c r="K187" s="15" t="str">
        <x:v>P1</x:v>
      </x:c>
      <x:c r="L187" s="15" t="str">
        <x:v>Blocking</x:v>
      </x:c>
      <x:c r="M187" s="15" t="str">
        <x:v>L179-L187</x:v>
      </x:c>
      <x:c r="N187" s="15" t="str">
        <x:v>BUILD</x:v>
      </x:c>
      <x:c r="O187" s="15" t="str">
        <x:v>Not Run</x:v>
      </x:c>
      <x:c r="P187" s="15" t="str"/>
    </x:row>
    <x:row r="188">
      <x:c r="A188" s="15" t="str">
        <x:v>FAV-009</x:v>
      </x:c>
      <x:c r="B188" s="15" t="str">
        <x:v>Buyer Features</x:v>
      </x:c>
      <x:c r="C188" s="15" t="str">
        <x:v>Favorites</x:v>
      </x:c>
      <x:c r="D188" s="15" t="str">
        <x:v>Hidden favorite remains in history with availability state</x:v>
      </x:c>
      <x:c r="E188" s="15" t="str">
        <x:v>Favorited listing becomes hidden.</x:v>
      </x:c>
      <x:c r="F188" s="15" t="str">
        <x:v>Open favorites.</x:v>
      </x:c>
      <x:c r="G188" s="15" t="str">
        <x:v>Item history is preserved where intended and current availability is clear.</x:v>
      </x:c>
      <x:c r="H188" s="15" t="str">
        <x:v>Particular</x:v>
      </x:c>
      <x:c r="I188" s="15" t="str">
        <x:v>E2E</x:v>
      </x:c>
      <x:c r="J188" s="15" t="str">
        <x:v>Automated</x:v>
      </x:c>
      <x:c r="K188" s="15" t="str">
        <x:v>P1</x:v>
      </x:c>
      <x:c r="L188" s="15" t="str">
        <x:v>Blocking</x:v>
      </x:c>
      <x:c r="M188" s="15" t="str">
        <x:v>L179-L187</x:v>
      </x:c>
      <x:c r="N188" s="15" t="str">
        <x:v>BUILD</x:v>
      </x:c>
      <x:c r="O188" s="15" t="str">
        <x:v>Not Run</x:v>
      </x:c>
      <x:c r="P188" s="15" t="str"/>
    </x:row>
    <x:row r="189">
      <x:c r="A189" s="15" t="str">
        <x:v>FAV-010</x:v>
      </x:c>
      <x:c r="B189" s="15" t="str">
        <x:v>Buyer Features</x:v>
      </x:c>
      <x:c r="C189" s="15" t="str">
        <x:v>Favorites</x:v>
      </x:c>
      <x:c r="D189" s="15" t="str">
        <x:v>User cannot read another user's favorites</x:v>
      </x:c>
      <x:c r="E189" s="15" t="str">
        <x:v>Two users.</x:v>
      </x:c>
      <x:c r="F189" s="15" t="str">
        <x:v>Attempt data access.</x:v>
      </x:c>
      <x:c r="G189" s="15" t="str">
        <x:v>RLS prevents cross-user favorite exposure.</x:v>
      </x:c>
      <x:c r="H189" s="15" t="str">
        <x:v>Particular</x:v>
      </x:c>
      <x:c r="I189" s="15" t="str">
        <x:v>DB/RLS</x:v>
      </x:c>
      <x:c r="J189" s="15" t="str">
        <x:v>Automated</x:v>
      </x:c>
      <x:c r="K189" s="15" t="str">
        <x:v>P0</x:v>
      </x:c>
      <x:c r="L189" s="15" t="str">
        <x:v>Blocking</x:v>
      </x:c>
      <x:c r="M189" s="15" t="str">
        <x:v>L179-L187</x:v>
      </x:c>
      <x:c r="N189" s="15" t="str">
        <x:v>BUILD</x:v>
      </x:c>
      <x:c r="O189" s="15" t="str">
        <x:v>Not Run</x:v>
      </x:c>
      <x:c r="P189" s="15" t="str"/>
    </x:row>
    <x:row r="190">
      <x:c r="A190" s="15" t="str">
        <x:v>PDA-001</x:v>
      </x:c>
      <x:c r="B190" s="15" t="str">
        <x:v>Buyer Features</x:v>
      </x:c>
      <x:c r="C190" s="15" t="str">
        <x:v>Price-drop alerts</x:v>
      </x:c>
      <x:c r="D190" s="15" t="str">
        <x:v>Price decrease on favorited approved listing creates eligible alert</x:v>
      </x:c>
      <x:c r="E190" s="15" t="str">
        <x:v>User favorites approved listing.</x:v>
      </x:c>
      <x:c r="F190" s="15" t="str">
        <x:v>Seller lowers public price.</x:v>
      </x:c>
      <x:c r="G190" s="15" t="str">
        <x:v>Notification event is created/sent once for new lower price.</x:v>
      </x:c>
      <x:c r="H190" s="15" t="str">
        <x:v>Particular</x:v>
      </x:c>
      <x:c r="I190" s="15" t="str">
        <x:v>Integration</x:v>
      </x:c>
      <x:c r="J190" s="15" t="str">
        <x:v>Automated</x:v>
      </x:c>
      <x:c r="K190" s="15" t="str">
        <x:v>P0</x:v>
      </x:c>
      <x:c r="L190" s="15" t="str">
        <x:v>Blocking</x:v>
      </x:c>
      <x:c r="M190" s="15" t="str">
        <x:v>L185-L188</x:v>
      </x:c>
      <x:c r="N190" s="15" t="str">
        <x:v>BUILD</x:v>
      </x:c>
      <x:c r="O190" s="15" t="str">
        <x:v>Not Run</x:v>
      </x:c>
      <x:c r="P190" s="15" t="str"/>
    </x:row>
    <x:row r="191">
      <x:c r="A191" s="15" t="str">
        <x:v>PDA-002</x:v>
      </x:c>
      <x:c r="B191" s="15" t="str">
        <x:v>Buyer Features</x:v>
      </x:c>
      <x:c r="C191" s="15" t="str">
        <x:v>Price-drop alerts</x:v>
      </x:c>
      <x:c r="D191" s="15" t="str">
        <x:v>No alert when price unchanged</x:v>
      </x:c>
      <x:c r="E191" s="15" t="str">
        <x:v>Favorited listing.</x:v>
      </x:c>
      <x:c r="F191" s="15" t="str">
        <x:v>Save same price.</x:v>
      </x:c>
      <x:c r="G191" s="15" t="str">
        <x:v>No price-drop notification.</x:v>
      </x:c>
      <x:c r="H191" s="15" t="str">
        <x:v>Particular</x:v>
      </x:c>
      <x:c r="I191" s="15" t="str">
        <x:v>Integration</x:v>
      </x:c>
      <x:c r="J191" s="15" t="str">
        <x:v>Automated</x:v>
      </x:c>
      <x:c r="K191" s="15" t="str">
        <x:v>P1</x:v>
      </x:c>
      <x:c r="L191" s="15" t="str">
        <x:v>Blocking</x:v>
      </x:c>
      <x:c r="M191" s="15" t="str">
        <x:v>L185-L188</x:v>
      </x:c>
      <x:c r="N191" s="15" t="str">
        <x:v>BUILD</x:v>
      </x:c>
      <x:c r="O191" s="15" t="str">
        <x:v>Not Run</x:v>
      </x:c>
      <x:c r="P191" s="15" t="str"/>
    </x:row>
    <x:row r="192">
      <x:c r="A192" s="15" t="str">
        <x:v>PDA-003</x:v>
      </x:c>
      <x:c r="B192" s="15" t="str">
        <x:v>Buyer Features</x:v>
      </x:c>
      <x:c r="C192" s="15" t="str">
        <x:v>Price-drop alerts</x:v>
      </x:c>
      <x:c r="D192" s="15" t="str">
        <x:v>No alert when price increases</x:v>
      </x:c>
      <x:c r="E192" s="15" t="str">
        <x:v>Favorited listing.</x:v>
      </x:c>
      <x:c r="F192" s="15" t="str">
        <x:v>Raise price.</x:v>
      </x:c>
      <x:c r="G192" s="15" t="str">
        <x:v>No price-drop notification.</x:v>
      </x:c>
      <x:c r="H192" s="15" t="str">
        <x:v>Particular</x:v>
      </x:c>
      <x:c r="I192" s="15" t="str">
        <x:v>Integration</x:v>
      </x:c>
      <x:c r="J192" s="15" t="str">
        <x:v>Automated</x:v>
      </x:c>
      <x:c r="K192" s="15" t="str">
        <x:v>P1</x:v>
      </x:c>
      <x:c r="L192" s="15" t="str">
        <x:v>Blocking</x:v>
      </x:c>
      <x:c r="M192" s="15" t="str">
        <x:v>L185-L188</x:v>
      </x:c>
      <x:c r="N192" s="15" t="str">
        <x:v>BUILD</x:v>
      </x:c>
      <x:c r="O192" s="15" t="str">
        <x:v>Not Run</x:v>
      </x:c>
      <x:c r="P192" s="15" t="str"/>
    </x:row>
    <x:row r="193">
      <x:c r="A193" s="15" t="str">
        <x:v>PDA-004</x:v>
      </x:c>
      <x:c r="B193" s="15" t="str">
        <x:v>Buyer Features</x:v>
      </x:c>
      <x:c r="C193" s="15" t="str">
        <x:v>Price-drop alerts</x:v>
      </x:c>
      <x:c r="D193" s="15" t="str">
        <x:v>Same reduced price does not alert repeatedly</x:v>
      </x:c>
      <x:c r="E193" s="15" t="str">
        <x:v>Price drop already notified.</x:v>
      </x:c>
      <x:c r="F193" s="15" t="str">
        <x:v>Re-save unchanged reduced price.</x:v>
      </x:c>
      <x:c r="G193" s="15" t="str">
        <x:v>No duplicate alert.</x:v>
      </x:c>
      <x:c r="H193" s="15" t="str">
        <x:v>Particular</x:v>
      </x:c>
      <x:c r="I193" s="15" t="str">
        <x:v>Integration</x:v>
      </x:c>
      <x:c r="J193" s="15" t="str">
        <x:v>Automated</x:v>
      </x:c>
      <x:c r="K193" s="15" t="str">
        <x:v>P0</x:v>
      </x:c>
      <x:c r="L193" s="15" t="str">
        <x:v>Blocking</x:v>
      </x:c>
      <x:c r="M193" s="15" t="str">
        <x:v>L185-L188</x:v>
      </x:c>
      <x:c r="N193" s="15" t="str">
        <x:v>BUILD</x:v>
      </x:c>
      <x:c r="O193" s="15" t="str">
        <x:v>Not Run</x:v>
      </x:c>
      <x:c r="P193" s="15" t="str"/>
    </x:row>
    <x:row r="194">
      <x:c r="A194" s="15" t="str">
        <x:v>PDA-005</x:v>
      </x:c>
      <x:c r="B194" s="15" t="str">
        <x:v>Buyer Features</x:v>
      </x:c>
      <x:c r="C194" s="15" t="str">
        <x:v>Price-drop alerts</x:v>
      </x:c>
      <x:c r="D194" s="15" t="str">
        <x:v>Second later price drop can alert again</x:v>
      </x:c>
      <x:c r="E194" s="15" t="str">
        <x:v>Earlier drop notified; price later reduced further.</x:v>
      </x:c>
      <x:c r="F194" s="15" t="str">
        <x:v>Reduce again.</x:v>
      </x:c>
      <x:c r="G194" s="15" t="str">
        <x:v>New lower-price event can notify once.</x:v>
      </x:c>
      <x:c r="H194" s="15" t="str">
        <x:v>Particular</x:v>
      </x:c>
      <x:c r="I194" s="15" t="str">
        <x:v>Integration</x:v>
      </x:c>
      <x:c r="J194" s="15" t="str">
        <x:v>Automated</x:v>
      </x:c>
      <x:c r="K194" s="15" t="str">
        <x:v>P1</x:v>
      </x:c>
      <x:c r="L194" s="15" t="str">
        <x:v>Blocking</x:v>
      </x:c>
      <x:c r="M194" s="15" t="str">
        <x:v>L185-L188</x:v>
      </x:c>
      <x:c r="N194" s="15" t="str">
        <x:v>BUILD</x:v>
      </x:c>
      <x:c r="O194" s="15" t="str">
        <x:v>Not Run</x:v>
      </x:c>
      <x:c r="P194" s="15" t="str"/>
    </x:row>
    <x:row r="195">
      <x:c r="A195" s="15" t="str">
        <x:v>PDA-006</x:v>
      </x:c>
      <x:c r="B195" s="15" t="str">
        <x:v>Buyer Features</x:v>
      </x:c>
      <x:c r="C195" s="15" t="str">
        <x:v>Price-drop alerts</x:v>
      </x:c>
      <x:c r="D195" s="15" t="str">
        <x:v>Pending listing price change does not alert</x:v>
      </x:c>
      <x:c r="E195" s="15" t="str">
        <x:v>Favorited/history relation; listing pending/nonpublic.</x:v>
      </x:c>
      <x:c r="F195" s="15" t="str">
        <x:v>Change price.</x:v>
      </x:c>
      <x:c r="G195" s="15" t="str">
        <x:v>No price-drop email.</x:v>
      </x:c>
      <x:c r="H195" s="15" t="str">
        <x:v>Particular</x:v>
      </x:c>
      <x:c r="I195" s="15" t="str">
        <x:v>Integration</x:v>
      </x:c>
      <x:c r="J195" s="15" t="str">
        <x:v>Automated</x:v>
      </x:c>
      <x:c r="K195" s="15" t="str">
        <x:v>P0</x:v>
      </x:c>
      <x:c r="L195" s="15" t="str">
        <x:v>Blocking</x:v>
      </x:c>
      <x:c r="M195" s="15" t="str">
        <x:v>L185-L188</x:v>
      </x:c>
      <x:c r="N195" s="15" t="str">
        <x:v>BUILD</x:v>
      </x:c>
      <x:c r="O195" s="15" t="str">
        <x:v>Not Run</x:v>
      </x:c>
      <x:c r="P195" s="15" t="str"/>
    </x:row>
    <x:row r="196">
      <x:c r="A196" s="15" t="str">
        <x:v>PDA-007</x:v>
      </x:c>
      <x:c r="B196" s="15" t="str">
        <x:v>Buyer Features</x:v>
      </x:c>
      <x:c r="C196" s="15" t="str">
        <x:v>Price-drop alerts</x:v>
      </x:c>
      <x:c r="D196" s="15" t="str">
        <x:v>Rejected listing price change does not alert</x:v>
      </x:c>
      <x:c r="E196" s="15" t="str">
        <x:v>Rejected listing.</x:v>
      </x:c>
      <x:c r="F196" s="15" t="str">
        <x:v>Change internal price.</x:v>
      </x:c>
      <x:c r="G196" s="15" t="str">
        <x:v>No alert.</x:v>
      </x:c>
      <x:c r="H196" s="15" t="str">
        <x:v>Particular</x:v>
      </x:c>
      <x:c r="I196" s="15" t="str">
        <x:v>Integration</x:v>
      </x:c>
      <x:c r="J196" s="15" t="str">
        <x:v>Automated</x:v>
      </x:c>
      <x:c r="K196" s="15" t="str">
        <x:v>P0</x:v>
      </x:c>
      <x:c r="L196" s="15" t="str">
        <x:v>Blocking</x:v>
      </x:c>
      <x:c r="M196" s="15" t="str">
        <x:v>L185-L188</x:v>
      </x:c>
      <x:c r="N196" s="15" t="str">
        <x:v>BUILD</x:v>
      </x:c>
      <x:c r="O196" s="15" t="str">
        <x:v>Not Run</x:v>
      </x:c>
      <x:c r="P196" s="15" t="str"/>
    </x:row>
    <x:row r="197">
      <x:c r="A197" s="15" t="str">
        <x:v>PDA-008</x:v>
      </x:c>
      <x:c r="B197" s="15" t="str">
        <x:v>Buyer Features</x:v>
      </x:c>
      <x:c r="C197" s="15" t="str">
        <x:v>Price-drop alerts</x:v>
      </x:c>
      <x:c r="D197" s="15" t="str">
        <x:v>Hidden listing price change does not alert</x:v>
      </x:c>
      <x:c r="E197" s="15" t="str">
        <x:v>Hidden favorited listing.</x:v>
      </x:c>
      <x:c r="F197" s="15" t="str">
        <x:v>Change price.</x:v>
      </x:c>
      <x:c r="G197" s="15" t="str">
        <x:v>No alert while hidden.</x:v>
      </x:c>
      <x:c r="H197" s="15" t="str">
        <x:v>Particular</x:v>
      </x:c>
      <x:c r="I197" s="15" t="str">
        <x:v>Integration</x:v>
      </x:c>
      <x:c r="J197" s="15" t="str">
        <x:v>Automated</x:v>
      </x:c>
      <x:c r="K197" s="15" t="str">
        <x:v>P0</x:v>
      </x:c>
      <x:c r="L197" s="15" t="str">
        <x:v>Blocking</x:v>
      </x:c>
      <x:c r="M197" s="15" t="str">
        <x:v>L185-L188</x:v>
      </x:c>
      <x:c r="N197" s="15" t="str">
        <x:v>BUILD</x:v>
      </x:c>
      <x:c r="O197" s="15" t="str">
        <x:v>Not Run</x:v>
      </x:c>
      <x:c r="P197" s="15" t="str"/>
    </x:row>
    <x:row r="198">
      <x:c r="A198" s="15" t="str">
        <x:v>PDA-009</x:v>
      </x:c>
      <x:c r="B198" s="15" t="str">
        <x:v>Buyer Features</x:v>
      </x:c>
      <x:c r="C198" s="15" t="str">
        <x:v>Price-drop alerts</x:v>
      </x:c>
      <x:c r="D198" s="15" t="str">
        <x:v>Price-drop email links to correct listing</x:v>
      </x:c>
      <x:c r="E198" s="15" t="str">
        <x:v>Eligible alert sent.</x:v>
      </x:c>
      <x:c r="F198" s="15" t="str">
        <x:v>Open email link.</x:v>
      </x:c>
      <x:c r="G198" s="15" t="str">
        <x:v>Correct listing destination opens with current availability.</x:v>
      </x:c>
      <x:c r="H198" s="15" t="str">
        <x:v>Particular</x:v>
      </x:c>
      <x:c r="I198" s="15" t="str">
        <x:v>E2E</x:v>
      </x:c>
      <x:c r="J198" s="15" t="str">
        <x:v>Both</x:v>
      </x:c>
      <x:c r="K198" s="15" t="str">
        <x:v>P1</x:v>
      </x:c>
      <x:c r="L198" s="15" t="str">
        <x:v>Blocking</x:v>
      </x:c>
      <x:c r="M198" s="15" t="str">
        <x:v>L185-L188</x:v>
      </x:c>
      <x:c r="N198" s="15" t="str">
        <x:v>BUILD</x:v>
      </x:c>
      <x:c r="O198" s="15" t="str">
        <x:v>Not Run</x:v>
      </x:c>
      <x:c r="P198" s="15" t="str"/>
    </x:row>
    <x:row r="199">
      <x:c r="A199" s="15" t="str">
        <x:v>ALERT-001</x:v>
      </x:c>
      <x:c r="B199" s="15" t="str">
        <x:v>Buyer Features</x:v>
      </x:c>
      <x:c r="C199" s="15" t="str">
        <x:v>Search alerts</x:v>
      </x:c>
      <x:c r="D199" s="15" t="str">
        <x:v>Authenticated user can save exact search state</x:v>
      </x:c>
      <x:c r="E199" s="15" t="str">
        <x:v>Logged-in user with filters/query.</x:v>
      </x:c>
      <x:c r="F199" s="15" t="str">
        <x:v>Create alert.</x:v>
      </x:c>
      <x:c r="G199" s="15" t="str">
        <x:v>Saved alert captures supported query/filter state accurately.</x:v>
      </x:c>
      <x:c r="H199" s="15" t="str">
        <x:v>Particular</x:v>
      </x:c>
      <x:c r="I199" s="15" t="str">
        <x:v>E2E</x:v>
      </x:c>
      <x:c r="J199" s="15" t="str">
        <x:v>Automated</x:v>
      </x:c>
      <x:c r="K199" s="15" t="str">
        <x:v>P0</x:v>
      </x:c>
      <x:c r="L199" s="15" t="str">
        <x:v>Blocking</x:v>
      </x:c>
      <x:c r="M199" s="15" t="str">
        <x:v>L189-L193</x:v>
      </x:c>
      <x:c r="N199" s="15" t="str">
        <x:v>BUILD</x:v>
      </x:c>
      <x:c r="O199" s="15" t="str">
        <x:v>Not Run</x:v>
      </x:c>
      <x:c r="P199" s="15" t="str"/>
    </x:row>
    <x:row r="200">
      <x:c r="A200" s="15" t="str">
        <x:v>ALERT-002</x:v>
      </x:c>
      <x:c r="B200" s="15" t="str">
        <x:v>Buyer Features</x:v>
      </x:c>
      <x:c r="C200" s="15" t="str">
        <x:v>Search alerts</x:v>
      </x:c>
      <x:c r="D200" s="15" t="str">
        <x:v>Anonymous user cannot create persistent search alert</x:v>
      </x:c>
      <x:c r="E200" s="15" t="str">
        <x:v>No session.</x:v>
      </x:c>
      <x:c r="F200" s="15" t="str">
        <x:v>Attempt create alert.</x:v>
      </x:c>
      <x:c r="G200" s="15" t="str">
        <x:v>Login/account required.</x:v>
      </x:c>
      <x:c r="H200" s="15" t="str">
        <x:v>Anonymous</x:v>
      </x:c>
      <x:c r="I200" s="15" t="str">
        <x:v>E2E</x:v>
      </x:c>
      <x:c r="J200" s="15" t="str">
        <x:v>Automated</x:v>
      </x:c>
      <x:c r="K200" s="15" t="str">
        <x:v>P0</x:v>
      </x:c>
      <x:c r="L200" s="15" t="str">
        <x:v>Blocking</x:v>
      </x:c>
      <x:c r="M200" s="15" t="str">
        <x:v>L189-L193</x:v>
      </x:c>
      <x:c r="N200" s="15" t="str">
        <x:v>BUILD</x:v>
      </x:c>
      <x:c r="O200" s="15" t="str">
        <x:v>Not Run</x:v>
      </x:c>
      <x:c r="P200" s="15" t="str"/>
    </x:row>
    <x:row r="201">
      <x:c r="A201" s="15" t="str">
        <x:v>ALERT-003</x:v>
      </x:c>
      <x:c r="B201" s="15" t="str">
        <x:v>Buyer Features</x:v>
      </x:c>
      <x:c r="C201" s="15" t="str">
        <x:v>Search alerts</x:v>
      </x:c>
      <x:c r="D201" s="15" t="str">
        <x:v>Immediate alert fires for newly public matching listing</x:v>
      </x:c>
      <x:c r="E201" s="15" t="str">
        <x:v>Immediate alert exists.</x:v>
      </x:c>
      <x:c r="F201" s="15" t="str">
        <x:v>Approve/publish matching new listing.</x:v>
      </x:c>
      <x:c r="G201" s="15" t="str">
        <x:v>User receives one immediate notification shortly after public availability.</x:v>
      </x:c>
      <x:c r="H201" s="15" t="str">
        <x:v>Particular</x:v>
      </x:c>
      <x:c r="I201" s="15" t="str">
        <x:v>Integration</x:v>
      </x:c>
      <x:c r="J201" s="15" t="str">
        <x:v>Both</x:v>
      </x:c>
      <x:c r="K201" s="15" t="str">
        <x:v>P0</x:v>
      </x:c>
      <x:c r="L201" s="15" t="str">
        <x:v>Blocking</x:v>
      </x:c>
      <x:c r="M201" s="15" t="str">
        <x:v>L189-L193</x:v>
      </x:c>
      <x:c r="N201" s="15" t="str">
        <x:v>BUILD</x:v>
      </x:c>
      <x:c r="O201" s="15" t="str">
        <x:v>Not Run</x:v>
      </x:c>
      <x:c r="P201" s="15" t="str"/>
    </x:row>
    <x:row r="202">
      <x:c r="A202" s="15" t="str">
        <x:v>ALERT-004</x:v>
      </x:c>
      <x:c r="B202" s="15" t="str">
        <x:v>Buyer Features</x:v>
      </x:c>
      <x:c r="C202" s="15" t="str">
        <x:v>Search alerts</x:v>
      </x:c>
      <x:c r="D202" s="15" t="str">
        <x:v>Immediate alert does not fire for nonmatching listing</x:v>
      </x:c>
      <x:c r="E202" s="15" t="str">
        <x:v>Immediate alert exists.</x:v>
      </x:c>
      <x:c r="F202" s="15" t="str">
        <x:v>Publish nonmatching listing.</x:v>
      </x:c>
      <x:c r="G202" s="15" t="str">
        <x:v>No notification.</x:v>
      </x:c>
      <x:c r="H202" s="15" t="str">
        <x:v>Particular</x:v>
      </x:c>
      <x:c r="I202" s="15" t="str">
        <x:v>Integration</x:v>
      </x:c>
      <x:c r="J202" s="15" t="str">
        <x:v>Automated</x:v>
      </x:c>
      <x:c r="K202" s="15" t="str">
        <x:v>P0</x:v>
      </x:c>
      <x:c r="L202" s="15" t="str">
        <x:v>Blocking</x:v>
      </x:c>
      <x:c r="M202" s="15" t="str">
        <x:v>L189-L193</x:v>
      </x:c>
      <x:c r="N202" s="15" t="str">
        <x:v>BUILD</x:v>
      </x:c>
      <x:c r="O202" s="15" t="str">
        <x:v>Not Run</x:v>
      </x:c>
      <x:c r="P202" s="15" t="str"/>
    </x:row>
    <x:row r="203">
      <x:c r="A203" s="15" t="str">
        <x:v>ALERT-005</x:v>
      </x:c>
      <x:c r="B203" s="15" t="str">
        <x:v>Buyer Features</x:v>
      </x:c>
      <x:c r="C203" s="15" t="str">
        <x:v>Search alerts</x:v>
      </x:c>
      <x:c r="D203" s="15" t="str">
        <x:v>Daily digest bundles multiple new matches</x:v>
      </x:c>
      <x:c r="E203" s="15" t="str">
        <x:v>Daily alert exists; several new matches.</x:v>
      </x:c>
      <x:c r="F203" s="15" t="str">
        <x:v>Run daily job.</x:v>
      </x:c>
      <x:c r="G203" s="15" t="str">
        <x:v>Single digest contains eligible new matches.</x:v>
      </x:c>
      <x:c r="H203" s="15" t="str">
        <x:v>Particular</x:v>
      </x:c>
      <x:c r="I203" s="15" t="str">
        <x:v>Integration</x:v>
      </x:c>
      <x:c r="J203" s="15" t="str">
        <x:v>Both</x:v>
      </x:c>
      <x:c r="K203" s="15" t="str">
        <x:v>P0</x:v>
      </x:c>
      <x:c r="L203" s="15" t="str">
        <x:v>Blocking</x:v>
      </x:c>
      <x:c r="M203" s="15" t="str">
        <x:v>L189-L193</x:v>
      </x:c>
      <x:c r="N203" s="15" t="str">
        <x:v>BUILD</x:v>
      </x:c>
      <x:c r="O203" s="15" t="str">
        <x:v>Not Run</x:v>
      </x:c>
      <x:c r="P203" s="15" t="str"/>
    </x:row>
    <x:row r="204">
      <x:c r="A204" s="15" t="str">
        <x:v>ALERT-006</x:v>
      </x:c>
      <x:c r="B204" s="15" t="str">
        <x:v>Buyer Features</x:v>
      </x:c>
      <x:c r="C204" s="15" t="str">
        <x:v>Search alerts</x:v>
      </x:c>
      <x:c r="D204" s="15" t="str">
        <x:v>Daily digest sends no empty email</x:v>
      </x:c>
      <x:c r="E204" s="15" t="str">
        <x:v>Daily alert; no new matches.</x:v>
      </x:c>
      <x:c r="F204" s="15" t="str">
        <x:v>Run scheduled job.</x:v>
      </x:c>
      <x:c r="G204" s="15" t="str">
        <x:v>No email sent.</x:v>
      </x:c>
      <x:c r="H204" s="15" t="str">
        <x:v>Particular</x:v>
      </x:c>
      <x:c r="I204" s="15" t="str">
        <x:v>Integration</x:v>
      </x:c>
      <x:c r="J204" s="15" t="str">
        <x:v>Automated</x:v>
      </x:c>
      <x:c r="K204" s="15" t="str">
        <x:v>P0</x:v>
      </x:c>
      <x:c r="L204" s="15" t="str">
        <x:v>Blocking</x:v>
      </x:c>
      <x:c r="M204" s="15" t="str">
        <x:v>L189-L193</x:v>
      </x:c>
      <x:c r="N204" s="15" t="str">
        <x:v>BUILD</x:v>
      </x:c>
      <x:c r="O204" s="15" t="str">
        <x:v>Not Run</x:v>
      </x:c>
      <x:c r="P204" s="15" t="str"/>
    </x:row>
    <x:row r="205">
      <x:c r="A205" s="15" t="str">
        <x:v>ALERT-007</x:v>
      </x:c>
      <x:c r="B205" s="15" t="str">
        <x:v>Buyer Features</x:v>
      </x:c>
      <x:c r="C205" s="15" t="str">
        <x:v>Search alerts</x:v>
      </x:c>
      <x:c r="D205" s="15" t="str">
        <x:v>Same user-alert-listing is not notified twice</x:v>
      </x:c>
      <x:c r="E205" s="15" t="str">
        <x:v>Alert has already notified listing.</x:v>
      </x:c>
      <x:c r="F205" s="15" t="str">
        <x:v>Run alert evaluation again.</x:v>
      </x:c>
      <x:c r="G205" s="15" t="str">
        <x:v>Dedup prevents repeat.</x:v>
      </x:c>
      <x:c r="H205" s="15" t="str">
        <x:v>Particular</x:v>
      </x:c>
      <x:c r="I205" s="15" t="str">
        <x:v>Integration</x:v>
      </x:c>
      <x:c r="J205" s="15" t="str">
        <x:v>Automated</x:v>
      </x:c>
      <x:c r="K205" s="15" t="str">
        <x:v>P0</x:v>
      </x:c>
      <x:c r="L205" s="15" t="str">
        <x:v>Blocking</x:v>
      </x:c>
      <x:c r="M205" s="15" t="str">
        <x:v>L189-L193</x:v>
      </x:c>
      <x:c r="N205" s="15" t="str">
        <x:v>BUILD</x:v>
      </x:c>
      <x:c r="O205" s="15" t="str">
        <x:v>Not Run</x:v>
      </x:c>
      <x:c r="P205" s="15" t="str"/>
    </x:row>
    <x:row r="206">
      <x:c r="A206" s="15" t="str">
        <x:v>ALERT-008</x:v>
      </x:c>
      <x:c r="B206" s="15" t="str">
        <x:v>Buyer Features</x:v>
      </x:c>
      <x:c r="C206" s="15" t="str">
        <x:v>Search alerts</x:v>
      </x:c>
      <x:c r="D206" s="15" t="str">
        <x:v>Pending listing does not trigger alert</x:v>
      </x:c>
      <x:c r="E206" s="15" t="str">
        <x:v>Matching pending listing.</x:v>
      </x:c>
      <x:c r="F206" s="15" t="str">
        <x:v>Run evaluation.</x:v>
      </x:c>
      <x:c r="G206" s="15" t="str">
        <x:v>No alert until it becomes public.</x:v>
      </x:c>
      <x:c r="H206" s="15" t="str">
        <x:v>Particular</x:v>
      </x:c>
      <x:c r="I206" s="15" t="str">
        <x:v>Integration</x:v>
      </x:c>
      <x:c r="J206" s="15" t="str">
        <x:v>Automated</x:v>
      </x:c>
      <x:c r="K206" s="15" t="str">
        <x:v>P0</x:v>
      </x:c>
      <x:c r="L206" s="15" t="str">
        <x:v>Blocking</x:v>
      </x:c>
      <x:c r="M206" s="15" t="str">
        <x:v>L189-L193</x:v>
      </x:c>
      <x:c r="N206" s="15" t="str">
        <x:v>BUILD</x:v>
      </x:c>
      <x:c r="O206" s="15" t="str">
        <x:v>Not Run</x:v>
      </x:c>
      <x:c r="P206" s="15" t="str"/>
    </x:row>
    <x:row r="207">
      <x:c r="A207" s="15" t="str">
        <x:v>ALERT-009</x:v>
      </x:c>
      <x:c r="B207" s="15" t="str">
        <x:v>Buyer Features</x:v>
      </x:c>
      <x:c r="C207" s="15" t="str">
        <x:v>Search alerts</x:v>
      </x:c>
      <x:c r="D207" s="15" t="str">
        <x:v>Rejected listing does not trigger alert</x:v>
      </x:c>
      <x:c r="E207" s="15" t="str">
        <x:v>Matching rejected listing.</x:v>
      </x:c>
      <x:c r="F207" s="15" t="str">
        <x:v>Run evaluation.</x:v>
      </x:c>
      <x:c r="G207" s="15" t="str">
        <x:v>No alert.</x:v>
      </x:c>
      <x:c r="H207" s="15" t="str">
        <x:v>Particular</x:v>
      </x:c>
      <x:c r="I207" s="15" t="str">
        <x:v>Integration</x:v>
      </x:c>
      <x:c r="J207" s="15" t="str">
        <x:v>Automated</x:v>
      </x:c>
      <x:c r="K207" s="15" t="str">
        <x:v>P0</x:v>
      </x:c>
      <x:c r="L207" s="15" t="str">
        <x:v>Blocking</x:v>
      </x:c>
      <x:c r="M207" s="15" t="str">
        <x:v>L189-L193</x:v>
      </x:c>
      <x:c r="N207" s="15" t="str">
        <x:v>BUILD</x:v>
      </x:c>
      <x:c r="O207" s="15" t="str">
        <x:v>Not Run</x:v>
      </x:c>
      <x:c r="P207" s="15" t="str"/>
    </x:row>
    <x:row r="208">
      <x:c r="A208" s="15" t="str">
        <x:v>ALERT-010</x:v>
      </x:c>
      <x:c r="B208" s="15" t="str">
        <x:v>Buyer Features</x:v>
      </x:c>
      <x:c r="C208" s="15" t="str">
        <x:v>Search alerts</x:v>
      </x:c>
      <x:c r="D208" s="15" t="str">
        <x:v>Hidden listing does not trigger new alert</x:v>
      </x:c>
      <x:c r="E208" s="15" t="str">
        <x:v>Matching hidden listing.</x:v>
      </x:c>
      <x:c r="F208" s="15" t="str">
        <x:v>Run evaluation.</x:v>
      </x:c>
      <x:c r="G208" s="15" t="str">
        <x:v>No alert.</x:v>
      </x:c>
      <x:c r="H208" s="15" t="str">
        <x:v>Particular</x:v>
      </x:c>
      <x:c r="I208" s="15" t="str">
        <x:v>Integration</x:v>
      </x:c>
      <x:c r="J208" s="15" t="str">
        <x:v>Automated</x:v>
      </x:c>
      <x:c r="K208" s="15" t="str">
        <x:v>P0</x:v>
      </x:c>
      <x:c r="L208" s="15" t="str">
        <x:v>Blocking</x:v>
      </x:c>
      <x:c r="M208" s="15" t="str">
        <x:v>L189-L193</x:v>
      </x:c>
      <x:c r="N208" s="15" t="str">
        <x:v>BUILD</x:v>
      </x:c>
      <x:c r="O208" s="15" t="str">
        <x:v>Not Run</x:v>
      </x:c>
      <x:c r="P208" s="15" t="str"/>
    </x:row>
    <x:row r="209">
      <x:c r="A209" s="15" t="str">
        <x:v>ALERT-011</x:v>
      </x:c>
      <x:c r="B209" s="15" t="str">
        <x:v>Buyer Features</x:v>
      </x:c>
      <x:c r="C209" s="15" t="str">
        <x:v>Search alerts</x:v>
      </x:c>
      <x:c r="D209" s="15" t="str">
        <x:v>Listing triggers only when first newly public for alert semantics</x:v>
      </x:c>
      <x:c r="E209" s="15" t="str">
        <x:v>Matching listing lifecycle.</x:v>
      </x:c>
      <x:c r="F209" s="15" t="str">
        <x:v>Publish/re-save/revisit without genuinely new public event.</x:v>
      </x:c>
      <x:c r="G209" s="15" t="str">
        <x:v>No repeated new-listing notification.</x:v>
      </x:c>
      <x:c r="H209" s="15" t="str">
        <x:v>Particular</x:v>
      </x:c>
      <x:c r="I209" s="15" t="str">
        <x:v>Integration</x:v>
      </x:c>
      <x:c r="J209" s="15" t="str">
        <x:v>Automated</x:v>
      </x:c>
      <x:c r="K209" s="15" t="str">
        <x:v>P0</x:v>
      </x:c>
      <x:c r="L209" s="15" t="str">
        <x:v>Blocking</x:v>
      </x:c>
      <x:c r="M209" s="15" t="str">
        <x:v>L189-L193</x:v>
      </x:c>
      <x:c r="N209" s="15" t="str">
        <x:v>BUILD</x:v>
      </x:c>
      <x:c r="O209" s="15" t="str">
        <x:v>Not Run</x:v>
      </x:c>
      <x:c r="P209" s="15" t="str"/>
    </x:row>
    <x:row r="210">
      <x:c r="A210" s="15" t="str">
        <x:v>ALERT-012</x:v>
      </x:c>
      <x:c r="B210" s="15" t="str">
        <x:v>Buyer Features</x:v>
      </x:c>
      <x:c r="C210" s="15" t="str">
        <x:v>Search alerts</x:v>
      </x:c>
      <x:c r="D210" s="15" t="str">
        <x:v>User can pause alert</x:v>
      </x:c>
      <x:c r="E210" s="15" t="str">
        <x:v>Active alert.</x:v>
      </x:c>
      <x:c r="F210" s="15" t="str">
        <x:v>Pause then publish match.</x:v>
      </x:c>
      <x:c r="G210" s="15" t="str">
        <x:v>No notifications while paused.</x:v>
      </x:c>
      <x:c r="H210" s="15" t="str">
        <x:v>Particular</x:v>
      </x:c>
      <x:c r="I210" s="15" t="str">
        <x:v>E2E</x:v>
      </x:c>
      <x:c r="J210" s="15" t="str">
        <x:v>Automated</x:v>
      </x:c>
      <x:c r="K210" s="15" t="str">
        <x:v>P1</x:v>
      </x:c>
      <x:c r="L210" s="15" t="str">
        <x:v>Blocking</x:v>
      </x:c>
      <x:c r="M210" s="15" t="str">
        <x:v>L189-L193</x:v>
      </x:c>
      <x:c r="N210" s="15" t="str">
        <x:v>BUILD</x:v>
      </x:c>
      <x:c r="O210" s="15" t="str">
        <x:v>Not Run</x:v>
      </x:c>
      <x:c r="P210" s="15" t="str"/>
    </x:row>
    <x:row r="211">
      <x:c r="A211" s="15" t="str">
        <x:v>ALERT-013</x:v>
      </x:c>
      <x:c r="B211" s="15" t="str">
        <x:v>Buyer Features</x:v>
      </x:c>
      <x:c r="C211" s="15" t="str">
        <x:v>Search alerts</x:v>
      </x:c>
      <x:c r="D211" s="15" t="str">
        <x:v>User can resume paused alert without duplicate history</x:v>
      </x:c>
      <x:c r="E211" s="15" t="str">
        <x:v>Paused alert with prior notifications.</x:v>
      </x:c>
      <x:c r="F211" s="15" t="str">
        <x:v>Resume.</x:v>
      </x:c>
      <x:c r="G211" s="15" t="str">
        <x:v>Future eligible matches notify; prior matches not replayed improperly.</x:v>
      </x:c>
      <x:c r="H211" s="15" t="str">
        <x:v>Particular</x:v>
      </x:c>
      <x:c r="I211" s="15" t="str">
        <x:v>Integration</x:v>
      </x:c>
      <x:c r="J211" s="15" t="str">
        <x:v>Automated</x:v>
      </x:c>
      <x:c r="K211" s="15" t="str">
        <x:v>P1</x:v>
      </x:c>
      <x:c r="L211" s="15" t="str">
        <x:v>Blocking</x:v>
      </x:c>
      <x:c r="M211" s="15" t="str">
        <x:v>L189-L193</x:v>
      </x:c>
      <x:c r="N211" s="15" t="str">
        <x:v>BUILD</x:v>
      </x:c>
      <x:c r="O211" s="15" t="str">
        <x:v>Not Run</x:v>
      </x:c>
      <x:c r="P211" s="15" t="str"/>
    </x:row>
    <x:row r="212">
      <x:c r="A212" s="15" t="str">
        <x:v>ALERT-014</x:v>
      </x:c>
      <x:c r="B212" s="15" t="str">
        <x:v>Buyer Features</x:v>
      </x:c>
      <x:c r="C212" s="15" t="str">
        <x:v>Search alerts</x:v>
      </x:c>
      <x:c r="D212" s="15" t="str">
        <x:v>User can delete alert</x:v>
      </x:c>
      <x:c r="E212" s="15" t="str">
        <x:v>Saved alert.</x:v>
      </x:c>
      <x:c r="F212" s="15" t="str">
        <x:v>Delete then publish match.</x:v>
      </x:c>
      <x:c r="G212" s="15" t="str">
        <x:v>Alert removed; no future notification.</x:v>
      </x:c>
      <x:c r="H212" s="15" t="str">
        <x:v>Particular</x:v>
      </x:c>
      <x:c r="I212" s="15" t="str">
        <x:v>E2E</x:v>
      </x:c>
      <x:c r="J212" s="15" t="str">
        <x:v>Automated</x:v>
      </x:c>
      <x:c r="K212" s="15" t="str">
        <x:v>P1</x:v>
      </x:c>
      <x:c r="L212" s="15" t="str">
        <x:v>Blocking</x:v>
      </x:c>
      <x:c r="M212" s="15" t="str">
        <x:v>L189-L193</x:v>
      </x:c>
      <x:c r="N212" s="15" t="str">
        <x:v>BUILD</x:v>
      </x:c>
      <x:c r="O212" s="15" t="str">
        <x:v>Not Run</x:v>
      </x:c>
      <x:c r="P212" s="15" t="str"/>
    </x:row>
    <x:row r="213">
      <x:c r="A213" s="15" t="str">
        <x:v>ALERT-015</x:v>
      </x:c>
      <x:c r="B213" s="15" t="str">
        <x:v>Buyer Features</x:v>
      </x:c>
      <x:c r="C213" s="15" t="str">
        <x:v>Search alerts</x:v>
      </x:c>
      <x:c r="D213" s="15" t="str">
        <x:v>Alert email deep-links correctly</x:v>
      </x:c>
      <x:c r="E213" s="15" t="str">
        <x:v>Alert email exists.</x:v>
      </x:c>
      <x:c r="F213" s="15" t="str">
        <x:v>Open listing/search links.</x:v>
      </x:c>
      <x:c r="G213" s="15" t="str">
        <x:v>Correct matching destination/filter state opens.</x:v>
      </x:c>
      <x:c r="H213" s="15" t="str">
        <x:v>Particular</x:v>
      </x:c>
      <x:c r="I213" s="15" t="str">
        <x:v>E2E</x:v>
      </x:c>
      <x:c r="J213" s="15" t="str">
        <x:v>Both</x:v>
      </x:c>
      <x:c r="K213" s="15" t="str">
        <x:v>P1</x:v>
      </x:c>
      <x:c r="L213" s="15" t="str">
        <x:v>Blocking</x:v>
      </x:c>
      <x:c r="M213" s="15" t="str">
        <x:v>L189-L193</x:v>
      </x:c>
      <x:c r="N213" s="15" t="str">
        <x:v>BUILD</x:v>
      </x:c>
      <x:c r="O213" s="15" t="str">
        <x:v>Not Run</x:v>
      </x:c>
      <x:c r="P213" s="15" t="str"/>
    </x:row>
    <x:row r="214">
      <x:c r="A214" s="15" t="str">
        <x:v>ALERT-016</x:v>
      </x:c>
      <x:c r="B214" s="15" t="str">
        <x:v>Buyer Features</x:v>
      </x:c>
      <x:c r="C214" s="15" t="str">
        <x:v>Search alerts</x:v>
      </x:c>
      <x:c r="D214" s="15" t="str">
        <x:v>Alert cannot expose another user's saved search</x:v>
      </x:c>
      <x:c r="E214" s="15" t="str">
        <x:v>Two users.</x:v>
      </x:c>
      <x:c r="F214" s="15" t="str">
        <x:v>Attempt direct data query.</x:v>
      </x:c>
      <x:c r="G214" s="15" t="str">
        <x:v>RLS/authorization isolates alerts.</x:v>
      </x:c>
      <x:c r="H214" s="15" t="str">
        <x:v>Particular</x:v>
      </x:c>
      <x:c r="I214" s="15" t="str">
        <x:v>DB/RLS</x:v>
      </x:c>
      <x:c r="J214" s="15" t="str">
        <x:v>Automated</x:v>
      </x:c>
      <x:c r="K214" s="15" t="str">
        <x:v>P0</x:v>
      </x:c>
      <x:c r="L214" s="15" t="str">
        <x:v>Blocking</x:v>
      </x:c>
      <x:c r="M214" s="15" t="str">
        <x:v>L189-L193</x:v>
      </x:c>
      <x:c r="N214" s="15" t="str">
        <x:v>BUILD</x:v>
      </x:c>
      <x:c r="O214" s="15" t="str">
        <x:v>Not Run</x:v>
      </x:c>
      <x:c r="P214" s="15" t="str"/>
    </x:row>
    <x:row r="215">
      <x:c r="A215" s="15" t="str">
        <x:v>SEO-001</x:v>
      </x:c>
      <x:c r="B215" s="15" t="str">
        <x:v>Discovery</x:v>
      </x:c>
      <x:c r="C215" s="15" t="str">
        <x:v>Category SEO pages</x:v>
      </x:c>
      <x:c r="D215" s="15" t="str">
        <x:v>Real category page resolves without colliding with listing slug</x:v>
      </x:c>
      <x:c r="E215" s="15" t="str">
        <x:v>Category route and listing slugs exist.</x:v>
      </x:c>
      <x:c r="F215" s="15" t="str">
        <x:v>Open `/instrumentos/guitarras` and representative listing detail.</x:v>
      </x:c>
      <x:c r="G215" s="15" t="str">
        <x:v>Both route to correct content.</x:v>
      </x:c>
      <x:c r="H215" s="15" t="str">
        <x:v>Anonymous</x:v>
      </x:c>
      <x:c r="I215" s="15" t="str">
        <x:v>E2E</x:v>
      </x:c>
      <x:c r="J215" s="15" t="str">
        <x:v>Automated</x:v>
      </x:c>
      <x:c r="K215" s="15" t="str">
        <x:v>P0</x:v>
      </x:c>
      <x:c r="L215" s="15" t="str">
        <x:v>Blocking</x:v>
      </x:c>
      <x:c r="M215" s="15" t="str">
        <x:v>L195-L198</x:v>
      </x:c>
      <x:c r="N215" s="15" t="str">
        <x:v>BUILD</x:v>
      </x:c>
      <x:c r="O215" s="15" t="str">
        <x:v>Not Run</x:v>
      </x:c>
      <x:c r="P215" s="15" t="str"/>
    </x:row>
    <x:row r="216">
      <x:c r="A216" s="15" t="str">
        <x:v>SEO-002</x:v>
      </x:c>
      <x:c r="B216" s="15" t="str">
        <x:v>Discovery</x:v>
      </x:c>
      <x:c r="C216" s="15" t="str">
        <x:v>Category SEO pages</x:v>
      </x:c>
      <x:c r="D216" s="15" t="str">
        <x:v>Guitar category page uses real listing system</x:v>
      </x:c>
      <x:c r="E216" s="15" t="str">
        <x:v>Approved guitar inventory exists.</x:v>
      </x:c>
      <x:c r="F216" s="15" t="str">
        <x:v>Open category page.</x:v>
      </x:c>
      <x:c r="G216" s="15" t="str">
        <x:v>Real filtered inventory appears, not static fake items.</x:v>
      </x:c>
      <x:c r="H216" s="15" t="str">
        <x:v>Anonymous</x:v>
      </x:c>
      <x:c r="I216" s="15" t="str">
        <x:v>E2E</x:v>
      </x:c>
      <x:c r="J216" s="15" t="str">
        <x:v>Automated</x:v>
      </x:c>
      <x:c r="K216" s="15" t="str">
        <x:v>P1</x:v>
      </x:c>
      <x:c r="L216" s="15" t="str">
        <x:v>Blocking</x:v>
      </x:c>
      <x:c r="M216" s="15" t="str">
        <x:v>L195-L198</x:v>
      </x:c>
      <x:c r="N216" s="15" t="str">
        <x:v>BUILD</x:v>
      </x:c>
      <x:c r="O216" s="15" t="str">
        <x:v>Not Run</x:v>
      </x:c>
      <x:c r="P216" s="15" t="str"/>
    </x:row>
    <x:row r="217">
      <x:c r="A217" s="15" t="str">
        <x:v>SEO-003</x:v>
      </x:c>
      <x:c r="B217" s="15" t="str">
        <x:v>Discovery</x:v>
      </x:c>
      <x:c r="C217" s="15" t="str">
        <x:v>Category SEO pages</x:v>
      </x:c>
      <x:c r="D217" s="15" t="str">
        <x:v>Drum category page uses real listing system</x:v>
      </x:c>
      <x:c r="E217" s="15" t="str">
        <x:v>Approved drum inventory exists.</x:v>
      </x:c>
      <x:c r="F217" s="15" t="str">
        <x:v>Open category page.</x:v>
      </x:c>
      <x:c r="G217" s="15" t="str">
        <x:v>Real filtered inventory appears.</x:v>
      </x:c>
      <x:c r="H217" s="15" t="str">
        <x:v>Anonymous</x:v>
      </x:c>
      <x:c r="I217" s="15" t="str">
        <x:v>E2E</x:v>
      </x:c>
      <x:c r="J217" s="15" t="str">
        <x:v>Automated</x:v>
      </x:c>
      <x:c r="K217" s="15" t="str">
        <x:v>P1</x:v>
      </x:c>
      <x:c r="L217" s="15" t="str">
        <x:v>Blocking</x:v>
      </x:c>
      <x:c r="M217" s="15" t="str">
        <x:v>L195-L198</x:v>
      </x:c>
      <x:c r="N217" s="15" t="str">
        <x:v>BUILD</x:v>
      </x:c>
      <x:c r="O217" s="15" t="str">
        <x:v>Not Run</x:v>
      </x:c>
      <x:c r="P217" s="15" t="str"/>
    </x:row>
    <x:row r="218">
      <x:c r="A218" s="15" t="str">
        <x:v>SEO-004</x:v>
      </x:c>
      <x:c r="B218" s="15" t="str">
        <x:v>Discovery</x:v>
      </x:c>
      <x:c r="C218" s="15" t="str">
        <x:v>Category SEO pages</x:v>
      </x:c>
      <x:c r="D218" s="15" t="str">
        <x:v>Microphone category page uses real listing system</x:v>
      </x:c>
      <x:c r="E218" s="15" t="str">
        <x:v>Approved microphone inventory exists.</x:v>
      </x:c>
      <x:c r="F218" s="15" t="str">
        <x:v>Open category page.</x:v>
      </x:c>
      <x:c r="G218" s="15" t="str">
        <x:v>Real filtered inventory appears.</x:v>
      </x:c>
      <x:c r="H218" s="15" t="str">
        <x:v>Anonymous</x:v>
      </x:c>
      <x:c r="I218" s="15" t="str">
        <x:v>E2E</x:v>
      </x:c>
      <x:c r="J218" s="15" t="str">
        <x:v>Automated</x:v>
      </x:c>
      <x:c r="K218" s="15" t="str">
        <x:v>P1</x:v>
      </x:c>
      <x:c r="L218" s="15" t="str">
        <x:v>Blocking</x:v>
      </x:c>
      <x:c r="M218" s="15" t="str">
        <x:v>L195-L198</x:v>
      </x:c>
      <x:c r="N218" s="15" t="str">
        <x:v>BUILD</x:v>
      </x:c>
      <x:c r="O218" s="15" t="str">
        <x:v>Not Run</x:v>
      </x:c>
      <x:c r="P218" s="15" t="str"/>
    </x:row>
    <x:row r="219">
      <x:c r="A219" s="15" t="str">
        <x:v>SEO-005</x:v>
      </x:c>
      <x:c r="B219" s="15" t="str">
        <x:v>Discovery</x:v>
      </x:c>
      <x:c r="C219" s="15" t="str">
        <x:v>Category SEO pages</x:v>
      </x:c>
      <x:c r="D219" s="15" t="str">
        <x:v>Category filters/pagination remain functional</x:v>
      </x:c>
      <x:c r="E219" s="15" t="str">
        <x:v>Many category listings.</x:v>
      </x:c>
      <x:c r="F219" s="15" t="str">
        <x:v>Filter and paginate category page.</x:v>
      </x:c>
      <x:c r="G219" s="15" t="str">
        <x:v>URL-driven marketplace behavior remains correct.</x:v>
      </x:c>
      <x:c r="H219" s="15" t="str">
        <x:v>Anonymous</x:v>
      </x:c>
      <x:c r="I219" s="15" t="str">
        <x:v>E2E</x:v>
      </x:c>
      <x:c r="J219" s="15" t="str">
        <x:v>Automated</x:v>
      </x:c>
      <x:c r="K219" s="15" t="str">
        <x:v>P1</x:v>
      </x:c>
      <x:c r="L219" s="15" t="str">
        <x:v>Blocking</x:v>
      </x:c>
      <x:c r="M219" s="15" t="str">
        <x:v>L195-L198</x:v>
      </x:c>
      <x:c r="N219" s="15" t="str">
        <x:v>BUILD</x:v>
      </x:c>
      <x:c r="O219" s="15" t="str">
        <x:v>Not Run</x:v>
      </x:c>
      <x:c r="P219" s="15" t="str"/>
    </x:row>
    <x:row r="220">
      <x:c r="A220" s="15" t="str">
        <x:v>SEO-006</x:v>
      </x:c>
      <x:c r="B220" s="15" t="str">
        <x:v>Discovery</x:v>
      </x:c>
      <x:c r="C220" s="15" t="str">
        <x:v>Category SEO pages</x:v>
      </x:c>
      <x:c r="D220" s="15" t="str">
        <x:v>Category page is indexable when appropriate</x:v>
      </x:c>
      <x:c r="E220" s="15" t="str">
        <x:v>Production-like environment.</x:v>
      </x:c>
      <x:c r="F220" s="15" t="str">
        <x:v>Inspect metadata/robots.</x:v>
      </x:c>
      <x:c r="G220" s="15" t="str">
        <x:v>Eligible category page is indexable and has category-specific metadata.</x:v>
      </x:c>
      <x:c r="H220" s="15" t="str">
        <x:v>Anonymous</x:v>
      </x:c>
      <x:c r="I220" s="15" t="str">
        <x:v>SEO</x:v>
      </x:c>
      <x:c r="J220" s="15" t="str">
        <x:v>Both</x:v>
      </x:c>
      <x:c r="K220" s="15" t="str">
        <x:v>P1</x:v>
      </x:c>
      <x:c r="L220" s="15" t="str">
        <x:v>Blocking</x:v>
      </x:c>
      <x:c r="M220" s="15" t="str">
        <x:v>L195-L198</x:v>
      </x:c>
      <x:c r="N220" s="15" t="str">
        <x:v>BUILD</x:v>
      </x:c>
      <x:c r="O220" s="15" t="str">
        <x:v>Not Run</x:v>
      </x:c>
      <x:c r="P220" s="15" t="str"/>
    </x:row>
    <x:row r="221">
      <x:c r="A221" s="15" t="str">
        <x:v>SEO-007</x:v>
      </x:c>
      <x:c r="B221" s="15" t="str">
        <x:v>Discovery</x:v>
      </x:c>
      <x:c r="C221" s="15" t="str">
        <x:v>Category SEO pages</x:v>
      </x:c>
      <x:c r="D221" s="15" t="str">
        <x:v>No fake doorway content is generated</x:v>
      </x:c>
      <x:c r="E221" s="15" t="str">
        <x:v>Category page.</x:v>
      </x:c>
      <x:c r="F221" s="15" t="str">
        <x:v>Inspect content.</x:v>
      </x:c>
      <x:c r="G221" s="15" t="str">
        <x:v>Page provides actual useful category browsing, not thin keyword-only content.</x:v>
      </x:c>
      <x:c r="H221" s="15" t="str">
        <x:v>Anonymous</x:v>
      </x:c>
      <x:c r="I221" s="15" t="str">
        <x:v>Manual</x:v>
      </x:c>
      <x:c r="J221" s="15" t="str">
        <x:v>Manual</x:v>
      </x:c>
      <x:c r="K221" s="15" t="str">
        <x:v>P1</x:v>
      </x:c>
      <x:c r="L221" s="15" t="str">
        <x:v>Blocking</x:v>
      </x:c>
      <x:c r="M221" s="15" t="str">
        <x:v>L195-L198</x:v>
      </x:c>
      <x:c r="N221" s="15" t="str">
        <x:v>BUILD</x:v>
      </x:c>
      <x:c r="O221" s="15" t="str">
        <x:v>Not Run</x:v>
      </x:c>
      <x:c r="P221" s="15" t="str"/>
    </x:row>
    <x:row r="222">
      <x:c r="A222" s="15" t="str">
        <x:v>WA-001</x:v>
      </x:c>
      <x:c r="B222" s="15" t="str">
        <x:v>Analytics</x:v>
      </x:c>
      <x:c r="C222" s="15" t="str">
        <x:v>WhatsApp contact tracking</x:v>
      </x:c>
      <x:c r="D222" s="15" t="str">
        <x:v>Anonymous WhatsApp click still launches contact</x:v>
      </x:c>
      <x:c r="E222" s="15" t="str">
        <x:v>Approved listing.</x:v>
      </x:c>
      <x:c r="F222" s="15" t="str">
        <x:v>Click WhatsApp while logged out.</x:v>
      </x:c>
      <x:c r="G222" s="15" t="str">
        <x:v>WhatsApp destination opens; anonymous contact remains allowed.</x:v>
      </x:c>
      <x:c r="H222" s="15" t="str">
        <x:v>Anonymous</x:v>
      </x:c>
      <x:c r="I222" s="15" t="str">
        <x:v>E2E</x:v>
      </x:c>
      <x:c r="J222" s="15" t="str">
        <x:v>Both</x:v>
      </x:c>
      <x:c r="K222" s="15" t="str">
        <x:v>P0</x:v>
      </x:c>
      <x:c r="L222" s="15" t="str">
        <x:v>Blocking</x:v>
      </x:c>
      <x:c r="M222" s="15" t="str">
        <x:v>L199-L203</x:v>
      </x:c>
      <x:c r="N222" s="15" t="str">
        <x:v>BUILD</x:v>
      </x:c>
      <x:c r="O222" s="15" t="str">
        <x:v>Not Run</x:v>
      </x:c>
      <x:c r="P222" s="15" t="str"/>
    </x:row>
    <x:row r="223">
      <x:c r="A223" s="15" t="str">
        <x:v>WA-002</x:v>
      </x:c>
      <x:c r="B223" s="15" t="str">
        <x:v>Analytics</x:v>
      </x:c>
      <x:c r="C223" s="15" t="str">
        <x:v>WhatsApp contact tracking</x:v>
      </x:c>
      <x:c r="D223" s="15" t="str">
        <x:v>Authenticated WhatsApp click launches contact and records buyer intent</x:v>
      </x:c>
      <x:c r="E223" s="15" t="str">
        <x:v>Logged-in user; approved listing.</x:v>
      </x:c>
      <x:c r="F223" s="15" t="str">
        <x:v>Click WhatsApp.</x:v>
      </x:c>
      <x:c r="G223" s="15" t="str">
        <x:v>Contact opens and event links buyer/listing/seller or store/timestamp.</x:v>
      </x:c>
      <x:c r="H223" s="15" t="str">
        <x:v>Particular</x:v>
      </x:c>
      <x:c r="I223" s="15" t="str">
        <x:v>Integration</x:v>
      </x:c>
      <x:c r="J223" s="15" t="str">
        <x:v>Automated</x:v>
      </x:c>
      <x:c r="K223" s="15" t="str">
        <x:v>P0</x:v>
      </x:c>
      <x:c r="L223" s="15" t="str">
        <x:v>Blocking</x:v>
      </x:c>
      <x:c r="M223" s="15" t="str">
        <x:v>L199-L203</x:v>
      </x:c>
      <x:c r="N223" s="15" t="str">
        <x:v>BUILD</x:v>
      </x:c>
      <x:c r="O223" s="15" t="str">
        <x:v>Not Run</x:v>
      </x:c>
      <x:c r="P223" s="15" t="str"/>
    </x:row>
    <x:row r="224">
      <x:c r="A224" s="15" t="str">
        <x:v>WA-003</x:v>
      </x:c>
      <x:c r="B224" s="15" t="str">
        <x:v>Analytics</x:v>
      </x:c>
      <x:c r="C224" s="15" t="str">
        <x:v>WhatsApp contact tracking</x:v>
      </x:c>
      <x:c r="D224" s="15" t="str">
        <x:v>Store WhatsApp event attributes store correctly</x:v>
      </x:c>
      <x:c r="E224" s="15" t="str">
        <x:v>Logged-in user; store listing.</x:v>
      </x:c>
      <x:c r="F224" s="15" t="str">
        <x:v>Click contact.</x:v>
      </x:c>
      <x:c r="G224" s="15" t="str">
        <x:v>Event references correct store/listing.</x:v>
      </x:c>
      <x:c r="H224" s="15" t="str">
        <x:v>Particular</x:v>
      </x:c>
      <x:c r="I224" s="15" t="str">
        <x:v>Integration</x:v>
      </x:c>
      <x:c r="J224" s="15" t="str">
        <x:v>Automated</x:v>
      </x:c>
      <x:c r="K224" s="15" t="str">
        <x:v>P0</x:v>
      </x:c>
      <x:c r="L224" s="15" t="str">
        <x:v>Blocking</x:v>
      </x:c>
      <x:c r="M224" s="15" t="str">
        <x:v>L199-L203</x:v>
      </x:c>
      <x:c r="N224" s="15" t="str">
        <x:v>BUILD</x:v>
      </x:c>
      <x:c r="O224" s="15" t="str">
        <x:v>Not Run</x:v>
      </x:c>
      <x:c r="P224" s="15" t="str"/>
    </x:row>
    <x:row r="225">
      <x:c r="A225" s="15" t="str">
        <x:v>WA-004</x:v>
      </x:c>
      <x:c r="B225" s="15" t="str">
        <x:v>Analytics</x:v>
      </x:c>
      <x:c r="C225" s="15" t="str">
        <x:v>WhatsApp contact tracking</x:v>
      </x:c>
      <x:c r="D225" s="15" t="str">
        <x:v>Particular WhatsApp event attributes seller correctly</x:v>
      </x:c>
      <x:c r="E225" s="15" t="str">
        <x:v>Logged-in user; individual listing.</x:v>
      </x:c>
      <x:c r="F225" s="15" t="str">
        <x:v>Click contact.</x:v>
      </x:c>
      <x:c r="G225" s="15" t="str">
        <x:v>Event references correct listing/seller identity.</x:v>
      </x:c>
      <x:c r="H225" s="15" t="str">
        <x:v>Particular</x:v>
      </x:c>
      <x:c r="I225" s="15" t="str">
        <x:v>Integration</x:v>
      </x:c>
      <x:c r="J225" s="15" t="str">
        <x:v>Automated</x:v>
      </x:c>
      <x:c r="K225" s="15" t="str">
        <x:v>P0</x:v>
      </x:c>
      <x:c r="L225" s="15" t="str">
        <x:v>Blocking</x:v>
      </x:c>
      <x:c r="M225" s="15" t="str">
        <x:v>L199-L203</x:v>
      </x:c>
      <x:c r="N225" s="15" t="str">
        <x:v>BUILD</x:v>
      </x:c>
      <x:c r="O225" s="15" t="str">
        <x:v>Not Run</x:v>
      </x:c>
      <x:c r="P225" s="15" t="str"/>
    </x:row>
    <x:row r="226">
      <x:c r="A226" s="15" t="str">
        <x:v>WA-005</x:v>
      </x:c>
      <x:c r="B226" s="15" t="str">
        <x:v>Analytics</x:v>
      </x:c>
      <x:c r="C226" s="15" t="str">
        <x:v>WhatsApp contact tracking</x:v>
      </x:c>
      <x:c r="D226" s="15" t="str">
        <x:v>Contact event records timestamp</x:v>
      </x:c>
      <x:c r="E226" s="15" t="str">
        <x:v>Logged-in or anonymous click.</x:v>
      </x:c>
      <x:c r="F226" s="15" t="str">
        <x:v>Trigger event.</x:v>
      </x:c>
      <x:c r="G226" s="15" t="str">
        <x:v>Timestamp stored accurately enough for eligibility/audit.</x:v>
      </x:c>
      <x:c r="H226" s="15" t="str">
        <x:v>All</x:v>
      </x:c>
      <x:c r="I226" s="15" t="str">
        <x:v>API/DB</x:v>
      </x:c>
      <x:c r="J226" s="15" t="str">
        <x:v>Automated</x:v>
      </x:c>
      <x:c r="K226" s="15" t="str">
        <x:v>P1</x:v>
      </x:c>
      <x:c r="L226" s="15" t="str">
        <x:v>Blocking</x:v>
      </x:c>
      <x:c r="M226" s="15" t="str">
        <x:v>L199-L203</x:v>
      </x:c>
      <x:c r="N226" s="15" t="str">
        <x:v>BUILD</x:v>
      </x:c>
      <x:c r="O226" s="15" t="str">
        <x:v>Not Run</x:v>
      </x:c>
      <x:c r="P226" s="15" t="str"/>
    </x:row>
    <x:row r="227">
      <x:c r="A227" s="15" t="str">
        <x:v>WA-006</x:v>
      </x:c>
      <x:c r="B227" s="15" t="str">
        <x:v>Analytics</x:v>
      </x:c>
      <x:c r="C227" s="15" t="str">
        <x:v>WhatsApp contact tracking</x:v>
      </x:c>
      <x:c r="D227" s="15" t="str">
        <x:v>Useful source/context can be recorded without corrupting core identity</x:v>
      </x:c>
      <x:c r="E227" s="15" t="str">
        <x:v>Open contact from supported surface.</x:v>
      </x:c>
      <x:c r="F227" s="15" t="str">
        <x:v>Click.</x:v>
      </x:c>
      <x:c r="G227" s="15" t="str">
        <x:v>Source/context is captured when provided; core attribution remains correct.</x:v>
      </x:c>
      <x:c r="H227" s="15" t="str">
        <x:v>All</x:v>
      </x:c>
      <x:c r="I227" s="15" t="str">
        <x:v>Integration</x:v>
      </x:c>
      <x:c r="J227" s="15" t="str">
        <x:v>Automated</x:v>
      </x:c>
      <x:c r="K227" s="15" t="str">
        <x:v>P2</x:v>
      </x:c>
      <x:c r="L227" s="15" t="str">
        <x:v>Non-blocking</x:v>
      </x:c>
      <x:c r="M227" s="15" t="str">
        <x:v>L199-L203</x:v>
      </x:c>
      <x:c r="N227" s="15" t="str">
        <x:v>BUILD</x:v>
      </x:c>
      <x:c r="O227" s="15" t="str">
        <x:v>Not Run</x:v>
      </x:c>
      <x:c r="P227" s="15" t="str"/>
    </x:row>
    <x:row r="228">
      <x:c r="A228" s="15" t="str">
        <x:v>WA-007</x:v>
      </x:c>
      <x:c r="B228" s="15" t="str">
        <x:v>Analytics</x:v>
      </x:c>
      <x:c r="C228" s="15" t="str">
        <x:v>WhatsApp contact tracking</x:v>
      </x:c>
      <x:c r="D228" s="15" t="str">
        <x:v>WhatsApp message content is never recorded</x:v>
      </x:c>
      <x:c r="E228" s="15" t="str">
        <x:v>Click contact.</x:v>
      </x:c>
      <x:c r="F228" s="15" t="str">
        <x:v>Inspect request/event schema/logs.</x:v>
      </x:c>
      <x:c r="G228" s="15" t="str">
        <x:v>No message body/content is persisted as analytics data.</x:v>
      </x:c>
      <x:c r="H228" s="15" t="str">
        <x:v>All</x:v>
      </x:c>
      <x:c r="I228" s="15" t="str">
        <x:v>Security</x:v>
      </x:c>
      <x:c r="J228" s="15" t="str">
        <x:v>Automated</x:v>
      </x:c>
      <x:c r="K228" s="15" t="str">
        <x:v>P0</x:v>
      </x:c>
      <x:c r="L228" s="15" t="str">
        <x:v>Blocking</x:v>
      </x:c>
      <x:c r="M228" s="15" t="str">
        <x:v>L199-L203</x:v>
      </x:c>
      <x:c r="N228" s="15" t="str">
        <x:v>BUILD</x:v>
      </x:c>
      <x:c r="O228" s="15" t="str">
        <x:v>Not Run</x:v>
      </x:c>
      <x:c r="P228" s="15" t="str"/>
    </x:row>
    <x:row r="229">
      <x:c r="A229" s="15" t="str">
        <x:v>WA-008</x:v>
      </x:c>
      <x:c r="B229" s="15" t="str">
        <x:v>Analytics</x:v>
      </x:c>
      <x:c r="C229" s="15" t="str">
        <x:v>WhatsApp contact tracking</x:v>
      </x:c>
      <x:c r="D229" s="15" t="str">
        <x:v>Only authenticated contact event makes buyer eligible for verified transaction</x:v>
      </x:c>
      <x:c r="E229" s="15" t="str">
        <x:v>Anonymous and authenticated contacts exist.</x:v>
      </x:c>
      <x:c r="F229" s="15" t="str">
        <x:v>Mark listing sold and inspect eligible buyers.</x:v>
      </x:c>
      <x:c r="G229" s="15" t="str">
        <x:v>Only authenticated contacted buyer is selectable.</x:v>
      </x:c>
      <x:c r="H229" s="15" t="str">
        <x:v>Seller</x:v>
      </x:c>
      <x:c r="I229" s="15" t="str">
        <x:v>Integration</x:v>
      </x:c>
      <x:c r="J229" s="15" t="str">
        <x:v>Automated</x:v>
      </x:c>
      <x:c r="K229" s="15" t="str">
        <x:v>P0</x:v>
      </x:c>
      <x:c r="L229" s="15" t="str">
        <x:v>Blocking</x:v>
      </x:c>
      <x:c r="M229" s="15" t="str">
        <x:v>L199-L203</x:v>
      </x:c>
      <x:c r="N229" s="15" t="str">
        <x:v>BUILD</x:v>
      </x:c>
      <x:c r="O229" s="15" t="str">
        <x:v>Not Run</x:v>
      </x:c>
      <x:c r="P229" s="15" t="str"/>
    </x:row>
    <x:row r="230">
      <x:c r="A230" s="15" t="str">
        <x:v>WA-009</x:v>
      </x:c>
      <x:c r="B230" s="15" t="str">
        <x:v>Analytics</x:v>
      </x:c>
      <x:c r="C230" s="15" t="str">
        <x:v>WhatsApp contact tracking</x:v>
      </x:c>
      <x:c r="D230" s="15" t="str">
        <x:v>Unrelated authenticated user is not eligible</x:v>
      </x:c>
      <x:c r="E230" s="15" t="str">
        <x:v>User never contacted listing.</x:v>
      </x:c>
      <x:c r="F230" s="15" t="str">
        <x:v>Seller marks sold.</x:v>
      </x:c>
      <x:c r="G230" s="15" t="str">
        <x:v>User does not appear as eligible buyer.</x:v>
      </x:c>
      <x:c r="H230" s="15" t="str">
        <x:v>Seller</x:v>
      </x:c>
      <x:c r="I230" s="15" t="str">
        <x:v>Integration</x:v>
      </x:c>
      <x:c r="J230" s="15" t="str">
        <x:v>Automated</x:v>
      </x:c>
      <x:c r="K230" s="15" t="str">
        <x:v>P0</x:v>
      </x:c>
      <x:c r="L230" s="15" t="str">
        <x:v>Blocking</x:v>
      </x:c>
      <x:c r="M230" s="15" t="str">
        <x:v>L199-L203</x:v>
      </x:c>
      <x:c r="N230" s="15" t="str">
        <x:v>BUILD</x:v>
      </x:c>
      <x:c r="O230" s="15" t="str">
        <x:v>Not Run</x:v>
      </x:c>
      <x:c r="P230" s="15" t="str"/>
    </x:row>
    <x:row r="231">
      <x:c r="A231" s="15" t="str">
        <x:v>WA-010</x:v>
      </x:c>
      <x:c r="B231" s="15" t="str">
        <x:v>Analytics</x:v>
      </x:c>
      <x:c r="C231" s="15" t="str">
        <x:v>WhatsApp contact tracking</x:v>
      </x:c>
      <x:c r="D231" s="15" t="str">
        <x:v>Repeated contact clicks do not create duplicate eligible-buyer identities</x:v>
      </x:c>
      <x:c r="E231" s="15" t="str">
        <x:v>Same buyer clicks several times.</x:v>
      </x:c>
      <x:c r="F231" s="15" t="str">
        <x:v>Seller marks sold.</x:v>
      </x:c>
      <x:c r="G231" s="15" t="str">
        <x:v>Buyer appears once as candidate while analytics may preserve event count.</x:v>
      </x:c>
      <x:c r="H231" s="15" t="str">
        <x:v>Seller</x:v>
      </x:c>
      <x:c r="I231" s="15" t="str">
        <x:v>Integration</x:v>
      </x:c>
      <x:c r="J231" s="15" t="str">
        <x:v>Automated</x:v>
      </x:c>
      <x:c r="K231" s="15" t="str">
        <x:v>P1</x:v>
      </x:c>
      <x:c r="L231" s="15" t="str">
        <x:v>Blocking</x:v>
      </x:c>
      <x:c r="M231" s="15" t="str">
        <x:v>L199-L203</x:v>
      </x:c>
      <x:c r="N231" s="15" t="str">
        <x:v>BUILD</x:v>
      </x:c>
      <x:c r="O231" s="15" t="str">
        <x:v>Not Run</x:v>
      </x:c>
      <x:c r="P231" s="15" t="str"/>
    </x:row>
    <x:row r="232">
      <x:c r="A232" s="15" t="str">
        <x:v>AN-001</x:v>
      </x:c>
      <x:c r="B232" s="15" t="str">
        <x:v>Analytics</x:v>
      </x:c>
      <x:c r="C232" s="15" t="str">
        <x:v>Marketplace funnel</x:v>
      </x:c>
      <x:c r="D232" s="15" t="str">
        <x:v>Listing impression event is attributable to listing</x:v>
      </x:c>
      <x:c r="E232" s="15" t="str">
        <x:v>Listing appears in supported browse surface.</x:v>
      </x:c>
      <x:c r="F232" s="15" t="str">
        <x:v>Render qualifying impression.</x:v>
      </x:c>
      <x:c r="G232" s="15" t="str">
        <x:v>Event/aggregate attributes correct listing.</x:v>
      </x:c>
      <x:c r="H232" s="15" t="str">
        <x:v>Anonymous</x:v>
      </x:c>
      <x:c r="I232" s="15" t="str">
        <x:v>Integration</x:v>
      </x:c>
      <x:c r="J232" s="15" t="str">
        <x:v>Automated</x:v>
      </x:c>
      <x:c r="K232" s="15" t="str">
        <x:v>P1</x:v>
      </x:c>
      <x:c r="L232" s="15" t="str">
        <x:v>Blocking</x:v>
      </x:c>
      <x:c r="M232" s="15" t="str">
        <x:v>L205-L215</x:v>
      </x:c>
      <x:c r="N232" s="15" t="str">
        <x:v>BUILD</x:v>
      </x:c>
      <x:c r="O232" s="15" t="str">
        <x:v>Not Run</x:v>
      </x:c>
      <x:c r="P232" s="15" t="str"/>
    </x:row>
    <x:row r="233">
      <x:c r="A233" s="15" t="str">
        <x:v>AN-002</x:v>
      </x:c>
      <x:c r="B233" s="15" t="str">
        <x:v>Analytics</x:v>
      </x:c>
      <x:c r="C233" s="15" t="str">
        <x:v>Marketplace funnel</x:v>
      </x:c>
      <x:c r="D233" s="15" t="str">
        <x:v>Listing detail view is counted correctly</x:v>
      </x:c>
      <x:c r="E233" s="15" t="str">
        <x:v>Approved listing.</x:v>
      </x:c>
      <x:c r="F233" s="15" t="str">
        <x:v>Open detail under defined dedup logic.</x:v>
      </x:c>
      <x:c r="G233" s="15" t="str">
        <x:v>View/event count changes according to product rules, not runaway refreshes.</x:v>
      </x:c>
      <x:c r="H233" s="15" t="str">
        <x:v>Anonymous</x:v>
      </x:c>
      <x:c r="I233" s="15" t="str">
        <x:v>Integration</x:v>
      </x:c>
      <x:c r="J233" s="15" t="str">
        <x:v>Automated</x:v>
      </x:c>
      <x:c r="K233" s="15" t="str">
        <x:v>P1</x:v>
      </x:c>
      <x:c r="L233" s="15" t="str">
        <x:v>Blocking</x:v>
      </x:c>
      <x:c r="M233" s="15" t="str">
        <x:v>L205-L215</x:v>
      </x:c>
      <x:c r="N233" s="15" t="str">
        <x:v>BUILD</x:v>
      </x:c>
      <x:c r="O233" s="15" t="str">
        <x:v>Not Run</x:v>
      </x:c>
      <x:c r="P233" s="15" t="str"/>
    </x:row>
    <x:row r="234">
      <x:c r="A234" s="15" t="str">
        <x:v>AN-003</x:v>
      </x:c>
      <x:c r="B234" s="15" t="str">
        <x:v>Analytics</x:v>
      </x:c>
      <x:c r="C234" s="15" t="str">
        <x:v>Marketplace funnel</x:v>
      </x:c>
      <x:c r="D234" s="15" t="str">
        <x:v>Favorite add/remove events reconcile with favorite state</x:v>
      </x:c>
      <x:c r="E234" s="15" t="str">
        <x:v>Logged-in user.</x:v>
      </x:c>
      <x:c r="F234" s="15" t="str">
        <x:v>Add then remove favorite.</x:v>
      </x:c>
      <x:c r="G234" s="15" t="str">
        <x:v>Analytics and canonical favorite data reconcile.</x:v>
      </x:c>
      <x:c r="H234" s="15" t="str">
        <x:v>Particular</x:v>
      </x:c>
      <x:c r="I234" s="15" t="str">
        <x:v>Integration</x:v>
      </x:c>
      <x:c r="J234" s="15" t="str">
        <x:v>Automated</x:v>
      </x:c>
      <x:c r="K234" s="15" t="str">
        <x:v>P1</x:v>
      </x:c>
      <x:c r="L234" s="15" t="str">
        <x:v>Blocking</x:v>
      </x:c>
      <x:c r="M234" s="15" t="str">
        <x:v>L205-L215</x:v>
      </x:c>
      <x:c r="N234" s="15" t="str">
        <x:v>BUILD</x:v>
      </x:c>
      <x:c r="O234" s="15" t="str">
        <x:v>Not Run</x:v>
      </x:c>
      <x:c r="P234" s="15" t="str"/>
    </x:row>
    <x:row r="235">
      <x:c r="A235" s="15" t="str">
        <x:v>AN-004</x:v>
      </x:c>
      <x:c r="B235" s="15" t="str">
        <x:v>Analytics</x:v>
      </x:c>
      <x:c r="C235" s="15" t="str">
        <x:v>Marketplace funnel</x:v>
      </x:c>
      <x:c r="D235" s="15" t="str">
        <x:v>Search event captures supported search state</x:v>
      </x:c>
      <x:c r="E235" s="15" t="str">
        <x:v>Run marketplace search.</x:v>
      </x:c>
      <x:c r="F235" s="15" t="str">
        <x:v>Submit search.</x:v>
      </x:c>
      <x:c r="G235" s="15" t="str">
        <x:v>Event captures useful query/filter context without sensitive overcollection.</x:v>
      </x:c>
      <x:c r="H235" s="15" t="str">
        <x:v>Anonymous</x:v>
      </x:c>
      <x:c r="I235" s="15" t="str">
        <x:v>Integration</x:v>
      </x:c>
      <x:c r="J235" s="15" t="str">
        <x:v>Automated</x:v>
      </x:c>
      <x:c r="K235" s="15" t="str">
        <x:v>P1</x:v>
      </x:c>
      <x:c r="L235" s="15" t="str">
        <x:v>Blocking</x:v>
      </x:c>
      <x:c r="M235" s="15" t="str">
        <x:v>L205-L215</x:v>
      </x:c>
      <x:c r="N235" s="15" t="str">
        <x:v>BUILD</x:v>
      </x:c>
      <x:c r="O235" s="15" t="str">
        <x:v>Not Run</x:v>
      </x:c>
      <x:c r="P235" s="15" t="str"/>
    </x:row>
    <x:row r="236">
      <x:c r="A236" s="15" t="str">
        <x:v>AN-005</x:v>
      </x:c>
      <x:c r="B236" s="15" t="str">
        <x:v>Analytics</x:v>
      </x:c>
      <x:c r="C236" s="15" t="str">
        <x:v>Marketplace funnel</x:v>
      </x:c>
      <x:c r="D236" s="15" t="str">
        <x:v>Zero-result search is identified</x:v>
      </x:c>
      <x:c r="E236" s="15" t="str">
        <x:v>Search yielding none.</x:v>
      </x:c>
      <x:c r="F236" s="15" t="str">
        <x:v>Submit.</x:v>
      </x:c>
      <x:c r="G236" s="15" t="str">
        <x:v>Zero-result event/metric recorded.</x:v>
      </x:c>
      <x:c r="H236" s="15" t="str">
        <x:v>Anonymous</x:v>
      </x:c>
      <x:c r="I236" s="15" t="str">
        <x:v>Integration</x:v>
      </x:c>
      <x:c r="J236" s="15" t="str">
        <x:v>Automated</x:v>
      </x:c>
      <x:c r="K236" s="15" t="str">
        <x:v>P1</x:v>
      </x:c>
      <x:c r="L236" s="15" t="str">
        <x:v>Blocking</x:v>
      </x:c>
      <x:c r="M236" s="15" t="str">
        <x:v>L205-L215</x:v>
      </x:c>
      <x:c r="N236" s="15" t="str">
        <x:v>BUILD</x:v>
      </x:c>
      <x:c r="O236" s="15" t="str">
        <x:v>Not Run</x:v>
      </x:c>
      <x:c r="P236" s="15" t="str"/>
    </x:row>
    <x:row r="237">
      <x:c r="A237" s="15" t="str">
        <x:v>AN-006</x:v>
      </x:c>
      <x:c r="B237" s="15" t="str">
        <x:v>Analytics</x:v>
      </x:c>
      <x:c r="C237" s="15" t="str">
        <x:v>Marketplace funnel</x:v>
      </x:c>
      <x:c r="D237" s="15" t="str">
        <x:v>Filter application is attributable</x:v>
      </x:c>
      <x:c r="E237" s="15" t="str">
        <x:v>Apply filter.</x:v>
      </x:c>
      <x:c r="F237" s="15" t="str">
        <x:v>Browse.</x:v>
      </x:c>
      <x:c r="G237" s="15" t="str">
        <x:v>Filter event/state is captured consistently.</x:v>
      </x:c>
      <x:c r="H237" s="15" t="str">
        <x:v>Anonymous</x:v>
      </x:c>
      <x:c r="I237" s="15" t="str">
        <x:v>Integration</x:v>
      </x:c>
      <x:c r="J237" s="15" t="str">
        <x:v>Automated</x:v>
      </x:c>
      <x:c r="K237" s="15" t="str">
        <x:v>P2</x:v>
      </x:c>
      <x:c r="L237" s="15" t="str">
        <x:v>Non-blocking</x:v>
      </x:c>
      <x:c r="M237" s="15" t="str">
        <x:v>L205-L215</x:v>
      </x:c>
      <x:c r="N237" s="15" t="str">
        <x:v>BUILD</x:v>
      </x:c>
      <x:c r="O237" s="15" t="str">
        <x:v>Not Run</x:v>
      </x:c>
      <x:c r="P237" s="15" t="str"/>
    </x:row>
    <x:row r="238">
      <x:c r="A238" s="15" t="str">
        <x:v>AN-007</x:v>
      </x:c>
      <x:c r="B238" s="15" t="str">
        <x:v>Analytics</x:v>
      </x:c>
      <x:c r="C238" s="15" t="str">
        <x:v>Marketplace funnel</x:v>
      </x:c>
      <x:c r="D238" s="15" t="str">
        <x:v>Store page view is attributable</x:v>
      </x:c>
      <x:c r="E238" s="15" t="str">
        <x:v>Open active store page.</x:v>
      </x:c>
      <x:c r="F238" s="15" t="str">
        <x:v>View.</x:v>
      </x:c>
      <x:c r="G238" s="15" t="str">
        <x:v>Store analytics can count view.</x:v>
      </x:c>
      <x:c r="H238" s="15" t="str">
        <x:v>Anonymous</x:v>
      </x:c>
      <x:c r="I238" s="15" t="str">
        <x:v>Integration</x:v>
      </x:c>
      <x:c r="J238" s="15" t="str">
        <x:v>Automated</x:v>
      </x:c>
      <x:c r="K238" s="15" t="str">
        <x:v>P1</x:v>
      </x:c>
      <x:c r="L238" s="15" t="str">
        <x:v>Blocking</x:v>
      </x:c>
      <x:c r="M238" s="15" t="str">
        <x:v>L205-L215</x:v>
      </x:c>
      <x:c r="N238" s="15" t="str">
        <x:v>BUILD</x:v>
      </x:c>
      <x:c r="O238" s="15" t="str">
        <x:v>Not Run</x:v>
      </x:c>
      <x:c r="P238" s="15" t="str"/>
    </x:row>
    <x:row r="239">
      <x:c r="A239" s="15" t="str">
        <x:v>AN-008</x:v>
      </x:c>
      <x:c r="B239" s="15" t="str">
        <x:v>Analytics</x:v>
      </x:c>
      <x:c r="C239" s="15" t="str">
        <x:v>Marketplace funnel</x:v>
      </x:c>
      <x:c r="D239" s="15" t="str">
        <x:v>Listing creation funnel start/submission/approval/rejection states reconcile</x:v>
      </x:c>
      <x:c r="E239" s="15" t="str">
        <x:v>Create/moderate test listings.</x:v>
      </x:c>
      <x:c r="F239" s="15" t="str">
        <x:v>Progress lifecycle.</x:v>
      </x:c>
      <x:c r="G239" s="15" t="str">
        <x:v>Events/states support funnel calculation without impossible ordering.</x:v>
      </x:c>
      <x:c r="H239" s="15" t="str">
        <x:v>Particular</x:v>
      </x:c>
      <x:c r="I239" s="15" t="str">
        <x:v>Integration</x:v>
      </x:c>
      <x:c r="J239" s="15" t="str">
        <x:v>Automated</x:v>
      </x:c>
      <x:c r="K239" s="15" t="str">
        <x:v>P1</x:v>
      </x:c>
      <x:c r="L239" s="15" t="str">
        <x:v>Blocking</x:v>
      </x:c>
      <x:c r="M239" s="15" t="str">
        <x:v>L205-L215</x:v>
      </x:c>
      <x:c r="N239" s="15" t="str">
        <x:v>BUILD</x:v>
      </x:c>
      <x:c r="O239" s="15" t="str">
        <x:v>Not Run</x:v>
      </x:c>
      <x:c r="P239" s="15" t="str"/>
    </x:row>
    <x:row r="240">
      <x:c r="A240" s="15" t="str">
        <x:v>AN-009</x:v>
      </x:c>
      <x:c r="B240" s="15" t="str">
        <x:v>Analytics</x:v>
      </x:c>
      <x:c r="C240" s="15" t="str">
        <x:v>Marketplace funnel</x:v>
      </x:c>
      <x:c r="D240" s="15" t="str">
        <x:v>Store application funnel states reconcile</x:v>
      </x:c>
      <x:c r="E240" s="15" t="str">
        <x:v>Create/apply/approve/verify store.</x:v>
      </x:c>
      <x:c r="F240" s="15" t="str">
        <x:v>Progress lifecycle.</x:v>
      </x:c>
      <x:c r="G240" s="15" t="str">
        <x:v>Events support application funnel.</x:v>
      </x:c>
      <x:c r="H240" s="15" t="str">
        <x:v>Store Owner</x:v>
      </x:c>
      <x:c r="I240" s="15" t="str">
        <x:v>Integration</x:v>
      </x:c>
      <x:c r="J240" s="15" t="str">
        <x:v>Automated</x:v>
      </x:c>
      <x:c r="K240" s="15" t="str">
        <x:v>P1</x:v>
      </x:c>
      <x:c r="L240" s="15" t="str">
        <x:v>Blocking</x:v>
      </x:c>
      <x:c r="M240" s="15" t="str">
        <x:v>L205-L215</x:v>
      </x:c>
      <x:c r="N240" s="15" t="str">
        <x:v>BUILD</x:v>
      </x:c>
      <x:c r="O240" s="15" t="str">
        <x:v>Not Run</x:v>
      </x:c>
      <x:c r="P240" s="15" t="str"/>
    </x:row>
    <x:row r="241">
      <x:c r="A241" s="15" t="str">
        <x:v>AN-010</x:v>
      </x:c>
      <x:c r="B241" s="15" t="str">
        <x:v>Analytics</x:v>
      </x:c>
      <x:c r="C241" s="15" t="str">
        <x:v>Marketplace funnel</x:v>
      </x:c>
      <x:c r="D241" s="15" t="str">
        <x:v>Verified transaction event occurs only after buyer confirmation</x:v>
      </x:c>
      <x:c r="E241" s="15" t="str">
        <x:v>Seller selects buyer.</x:v>
      </x:c>
      <x:c r="F241" s="15" t="str">
        <x:v>Before and after buyer confirms.</x:v>
      </x:c>
      <x:c r="G241" s="15" t="str">
        <x:v>No verified event before confirmation; one after.</x:v>
      </x:c>
      <x:c r="H241" s="15" t="str">
        <x:v>All</x:v>
      </x:c>
      <x:c r="I241" s="15" t="str">
        <x:v>Integration</x:v>
      </x:c>
      <x:c r="J241" s="15" t="str">
        <x:v>Automated</x:v>
      </x:c>
      <x:c r="K241" s="15" t="str">
        <x:v>P0</x:v>
      </x:c>
      <x:c r="L241" s="15" t="str">
        <x:v>Blocking</x:v>
      </x:c>
      <x:c r="M241" s="15" t="str">
        <x:v>L205-L215</x:v>
      </x:c>
      <x:c r="N241" s="15" t="str">
        <x:v>BUILD</x:v>
      </x:c>
      <x:c r="O241" s="15" t="str">
        <x:v>Not Run</x:v>
      </x:c>
      <x:c r="P241" s="15" t="str"/>
    </x:row>
    <x:row r="242">
      <x:c r="A242" s="15" t="str">
        <x:v>AN-011</x:v>
      </x:c>
      <x:c r="B242" s="15" t="str">
        <x:v>Analytics</x:v>
      </x:c>
      <x:c r="C242" s="15" t="str">
        <x:v>Marketplace funnel</x:v>
      </x:c>
      <x:c r="D242" s="15" t="str">
        <x:v>Review submission event occurs once per side</x:v>
      </x:c>
      <x:c r="E242" s="15" t="str">
        <x:v>Verified transaction.</x:v>
      </x:c>
      <x:c r="F242" s="15" t="str">
        <x:v>Submit reviews.</x:v>
      </x:c>
      <x:c r="G242" s="15" t="str">
        <x:v>Analytics do not duplicate canonical review state.</x:v>
      </x:c>
      <x:c r="H242" s="15" t="str">
        <x:v>All</x:v>
      </x:c>
      <x:c r="I242" s="15" t="str">
        <x:v>Integration</x:v>
      </x:c>
      <x:c r="J242" s="15" t="str">
        <x:v>Automated</x:v>
      </x:c>
      <x:c r="K242" s="15" t="str">
        <x:v>P1</x:v>
      </x:c>
      <x:c r="L242" s="15" t="str">
        <x:v>Blocking</x:v>
      </x:c>
      <x:c r="M242" s="15" t="str">
        <x:v>L205-L215</x:v>
      </x:c>
      <x:c r="N242" s="15" t="str">
        <x:v>BUILD</x:v>
      </x:c>
      <x:c r="O242" s="15" t="str">
        <x:v>Not Run</x:v>
      </x:c>
      <x:c r="P242" s="15" t="str"/>
    </x:row>
    <x:row r="243">
      <x:c r="A243" s="15" t="str">
        <x:v>AN-012</x:v>
      </x:c>
      <x:c r="B243" s="15" t="str">
        <x:v>Analytics</x:v>
      </x:c>
      <x:c r="C243" s="15" t="str">
        <x:v>Marketplace funnel</x:v>
      </x:c>
      <x:c r="D243" s="15" t="str">
        <x:v>Listing CTR calculation is correct</x:v>
      </x:c>
      <x:c r="E243" s="15" t="str">
        <x:v>Known impressions and opens.</x:v>
      </x:c>
      <x:c r="F243" s="15" t="str">
        <x:v>Calculate/report metric.</x:v>
      </x:c>
      <x:c r="G243" s="15" t="str">
        <x:v>CTR uses correct numerator/denominator.</x:v>
      </x:c>
      <x:c r="H243" s="15" t="str">
        <x:v>Admin</x:v>
      </x:c>
      <x:c r="I243" s="15" t="str">
        <x:v>Unit/Integration</x:v>
      </x:c>
      <x:c r="J243" s="15" t="str">
        <x:v>Automated</x:v>
      </x:c>
      <x:c r="K243" s="15" t="str">
        <x:v>P1</x:v>
      </x:c>
      <x:c r="L243" s="15" t="str">
        <x:v>Blocking</x:v>
      </x:c>
      <x:c r="M243" s="15" t="str">
        <x:v>L205-L215</x:v>
      </x:c>
      <x:c r="N243" s="15" t="str">
        <x:v>BUILD</x:v>
      </x:c>
      <x:c r="O243" s="15" t="str">
        <x:v>Not Run</x:v>
      </x:c>
      <x:c r="P243" s="15" t="str"/>
    </x:row>
    <x:row r="244">
      <x:c r="A244" s="15" t="str">
        <x:v>AN-013</x:v>
      </x:c>
      <x:c r="B244" s="15" t="str">
        <x:v>Analytics</x:v>
      </x:c>
      <x:c r="C244" s="15" t="str">
        <x:v>Marketplace funnel</x:v>
      </x:c>
      <x:c r="D244" s="15" t="str">
        <x:v>Contact rate calculation is correct</x:v>
      </x:c>
      <x:c r="E244" s="15" t="str">
        <x:v>Known opens and WhatsApp events.</x:v>
      </x:c>
      <x:c r="F244" s="15" t="str">
        <x:v>Calculate.</x:v>
      </x:c>
      <x:c r="G244" s="15" t="str">
        <x:v>Contact rate is correct.</x:v>
      </x:c>
      <x:c r="H244" s="15" t="str">
        <x:v>Seller</x:v>
      </x:c>
      <x:c r="I244" s="15" t="str">
        <x:v>Unit/Integration</x:v>
      </x:c>
      <x:c r="J244" s="15" t="str">
        <x:v>Automated</x:v>
      </x:c>
      <x:c r="K244" s="15" t="str">
        <x:v>P1</x:v>
      </x:c>
      <x:c r="L244" s="15" t="str">
        <x:v>Blocking</x:v>
      </x:c>
      <x:c r="M244" s="15" t="str">
        <x:v>L205-L215</x:v>
      </x:c>
      <x:c r="N244" s="15" t="str">
        <x:v>BUILD</x:v>
      </x:c>
      <x:c r="O244" s="15" t="str">
        <x:v>Not Run</x:v>
      </x:c>
      <x:c r="P244" s="15" t="str"/>
    </x:row>
    <x:row r="245">
      <x:c r="A245" s="15" t="str">
        <x:v>AN-014</x:v>
      </x:c>
      <x:c r="B245" s="15" t="str">
        <x:v>Analytics</x:v>
      </x:c>
      <x:c r="C245" s="15" t="str">
        <x:v>Marketplace funnel</x:v>
      </x:c>
      <x:c r="D245" s="15" t="str">
        <x:v>Favorite rate calculation is correct</x:v>
      </x:c>
      <x:c r="E245" s="15" t="str">
        <x:v>Known opens and favorite events.</x:v>
      </x:c>
      <x:c r="F245" s="15" t="str">
        <x:v>Calculate.</x:v>
      </x:c>
      <x:c r="G245" s="15" t="str">
        <x:v>Favorite rate is correct.</x:v>
      </x:c>
      <x:c r="H245" s="15" t="str">
        <x:v>Seller</x:v>
      </x:c>
      <x:c r="I245" s="15" t="str">
        <x:v>Unit/Integration</x:v>
      </x:c>
      <x:c r="J245" s="15" t="str">
        <x:v>Automated</x:v>
      </x:c>
      <x:c r="K245" s="15" t="str">
        <x:v>P1</x:v>
      </x:c>
      <x:c r="L245" s="15" t="str">
        <x:v>Blocking</x:v>
      </x:c>
      <x:c r="M245" s="15" t="str">
        <x:v>L205-L215</x:v>
      </x:c>
      <x:c r="N245" s="15" t="str">
        <x:v>BUILD</x:v>
      </x:c>
      <x:c r="O245" s="15" t="str">
        <x:v>Not Run</x:v>
      </x:c>
      <x:c r="P245" s="15" t="str"/>
    </x:row>
    <x:row r="246">
      <x:c r="A246" s="15" t="str">
        <x:v>AN-015</x:v>
      </x:c>
      <x:c r="B246" s="15" t="str">
        <x:v>Analytics</x:v>
      </x:c>
      <x:c r="C246" s="15" t="str">
        <x:v>Marketplace funnel</x:v>
      </x:c>
      <x:c r="D246" s="15" t="str">
        <x:v>Zero-result rate calculation is correct</x:v>
      </x:c>
      <x:c r="E246" s="15" t="str">
        <x:v>Known searches.</x:v>
      </x:c>
      <x:c r="F246" s="15" t="str">
        <x:v>Calculate.</x:v>
      </x:c>
      <x:c r="G246" s="15" t="str">
        <x:v>Metric is correct.</x:v>
      </x:c>
      <x:c r="H246" s="15" t="str">
        <x:v>Admin</x:v>
      </x:c>
      <x:c r="I246" s="15" t="str">
        <x:v>Unit/Integration</x:v>
      </x:c>
      <x:c r="J246" s="15" t="str">
        <x:v>Automated</x:v>
      </x:c>
      <x:c r="K246" s="15" t="str">
        <x:v>P2</x:v>
      </x:c>
      <x:c r="L246" s="15" t="str">
        <x:v>Non-blocking</x:v>
      </x:c>
      <x:c r="M246" s="15" t="str">
        <x:v>L205-L215</x:v>
      </x:c>
      <x:c r="N246" s="15" t="str">
        <x:v>BUILD</x:v>
      </x:c>
      <x:c r="O246" s="15" t="str">
        <x:v>Not Run</x:v>
      </x:c>
      <x:c r="P246" s="15" t="str"/>
    </x:row>
    <x:row r="247">
      <x:c r="A247" s="15" t="str">
        <x:v>AN-016</x:v>
      </x:c>
      <x:c r="B247" s="15" t="str">
        <x:v>Analytics</x:v>
      </x:c>
      <x:c r="C247" s="15" t="str">
        <x:v>Marketplace funnel</x:v>
      </x:c>
      <x:c r="D247" s="15" t="str">
        <x:v>No invasive fingerprinting is required for anonymous analytics</x:v>
      </x:c>
      <x:c r="E247" s="15" t="str">
        <x:v>Anonymous browsing.</x:v>
      </x:c>
      <x:c r="F247" s="15" t="str">
        <x:v>Inspect analytics identifiers/implementation.</x:v>
      </x:c>
      <x:c r="G247" s="15" t="str">
        <x:v>Uses privacy-conscious session/anonymous identifiers rather than invasive fingerprinting.</x:v>
      </x:c>
      <x:c r="H247" s="15" t="str">
        <x:v>Anonymous</x:v>
      </x:c>
      <x:c r="I247" s="15" t="str">
        <x:v>Security/Manual</x:v>
      </x:c>
      <x:c r="J247" s="15" t="str">
        <x:v>Both</x:v>
      </x:c>
      <x:c r="K247" s="15" t="str">
        <x:v>P0</x:v>
      </x:c>
      <x:c r="L247" s="15" t="str">
        <x:v>Blocking</x:v>
      </x:c>
      <x:c r="M247" s="15" t="str">
        <x:v>L205-L215</x:v>
      </x:c>
      <x:c r="N247" s="15" t="str">
        <x:v>BUILD</x:v>
      </x:c>
      <x:c r="O247" s="15" t="str">
        <x:v>Not Run</x:v>
      </x:c>
      <x:c r="P247" s="15" t="str"/>
    </x:row>
    <x:row r="248">
      <x:c r="A248" s="15" t="str">
        <x:v>TX-001</x:v>
      </x:c>
      <x:c r="B248" s="15" t="str">
        <x:v>Transactions</x:v>
      </x:c>
      <x:c r="C248" s="15" t="str">
        <x:v>Verified transaction confirmation</x:v>
      </x:c>
      <x:c r="D248" s="15" t="str">
        <x:v>Marking sold prompts Laria-buyer question</x:v>
      </x:c>
      <x:c r="E248" s="15" t="str">
        <x:v>Approved listing.</x:v>
      </x:c>
      <x:c r="F248" s="15" t="str">
        <x:v>Seller marks sold.</x:v>
      </x:c>
      <x:c r="G248" s="15" t="str">
        <x:v>Flow asks whether buyer came through Laria.</x:v>
      </x:c>
      <x:c r="H248" s="15" t="str">
        <x:v>Seller</x:v>
      </x:c>
      <x:c r="I248" s="15" t="str">
        <x:v>E2E</x:v>
      </x:c>
      <x:c r="J248" s="15" t="str">
        <x:v>Automated</x:v>
      </x:c>
      <x:c r="K248" s="15" t="str">
        <x:v>P0</x:v>
      </x:c>
      <x:c r="L248" s="15" t="str">
        <x:v>Blocking</x:v>
      </x:c>
      <x:c r="M248" s="15" t="str">
        <x:v>L217-L230</x:v>
      </x:c>
      <x:c r="N248" s="15" t="str">
        <x:v>BUILD</x:v>
      </x:c>
      <x:c r="O248" s="15" t="str">
        <x:v>Not Run</x:v>
      </x:c>
      <x:c r="P248" s="15" t="str"/>
    </x:row>
    <x:row r="249">
      <x:c r="A249" s="15" t="str">
        <x:v>TX-002</x:v>
      </x:c>
      <x:c r="B249" s="15" t="str">
        <x:v>Transactions</x:v>
      </x:c>
      <x:c r="C249" s="15" t="str">
        <x:v>Verified transaction confirmation</x:v>
      </x:c>
      <x:c r="D249" s="15" t="str">
        <x:v>Eligible buyer list contains only authenticated contacts for that listing</x:v>
      </x:c>
      <x:c r="E249" s="15" t="str">
        <x:v>Several users/contact histories.</x:v>
      </x:c>
      <x:c r="F249" s="15" t="str">
        <x:v>Mark sold.</x:v>
      </x:c>
      <x:c r="G249" s="15" t="str">
        <x:v>Only qualifying contacted authenticated users appear.</x:v>
      </x:c>
      <x:c r="H249" s="15" t="str">
        <x:v>Seller</x:v>
      </x:c>
      <x:c r="I249" s="15" t="str">
        <x:v>Integration</x:v>
      </x:c>
      <x:c r="J249" s="15" t="str">
        <x:v>Automated</x:v>
      </x:c>
      <x:c r="K249" s="15" t="str">
        <x:v>P0</x:v>
      </x:c>
      <x:c r="L249" s="15" t="str">
        <x:v>Blocking</x:v>
      </x:c>
      <x:c r="M249" s="15" t="str">
        <x:v>L217-L230</x:v>
      </x:c>
      <x:c r="N249" s="15" t="str">
        <x:v>BUILD</x:v>
      </x:c>
      <x:c r="O249" s="15" t="str">
        <x:v>Not Run</x:v>
      </x:c>
      <x:c r="P249" s="15" t="str"/>
    </x:row>
    <x:row r="250">
      <x:c r="A250" s="15" t="str">
        <x:v>TX-003</x:v>
      </x:c>
      <x:c r="B250" s="15" t="str">
        <x:v>Transactions</x:v>
      </x:c>
      <x:c r="C250" s="15" t="str">
        <x:v>Verified transaction confirmation</x:v>
      </x:c>
      <x:c r="D250" s="15" t="str">
        <x:v>Seller cannot search full user directory from sale flow</x:v>
      </x:c>
      <x:c r="E250" s="15" t="str">
        <x:v>Seller marks sold.</x:v>
      </x:c>
      <x:c r="F250" s="15" t="str">
        <x:v>Inspect/interact with buyer selector.</x:v>
      </x:c>
      <x:c r="G250" s="15" t="str">
        <x:v>No arbitrary directory search/browse is exposed.</x:v>
      </x:c>
      <x:c r="H250" s="15" t="str">
        <x:v>Seller</x:v>
      </x:c>
      <x:c r="I250" s="15" t="str">
        <x:v>Manual</x:v>
      </x:c>
      <x:c r="J250" s="15" t="str">
        <x:v>Both</x:v>
      </x:c>
      <x:c r="K250" s="15" t="str">
        <x:v>P0</x:v>
      </x:c>
      <x:c r="L250" s="15" t="str">
        <x:v>Blocking</x:v>
      </x:c>
      <x:c r="M250" s="15" t="str">
        <x:v>L217-L230</x:v>
      </x:c>
      <x:c r="N250" s="15" t="str">
        <x:v>BUILD</x:v>
      </x:c>
      <x:c r="O250" s="15" t="str">
        <x:v>Not Run</x:v>
      </x:c>
      <x:c r="P250" s="15" t="str"/>
    </x:row>
    <x:row r="251">
      <x:c r="A251" s="15" t="str">
        <x:v>TX-004</x:v>
      </x:c>
      <x:c r="B251" s="15" t="str">
        <x:v>Transactions</x:v>
      </x:c>
      <x:c r="C251" s="15" t="str">
        <x:v>Verified transaction confirmation</x:v>
      </x:c>
      <x:c r="D251" s="15" t="str">
        <x:v>Seller can choose outside-Laria/no-account option</x:v>
      </x:c>
      <x:c r="E251" s="15" t="str">
        <x:v>Listing sold to external buyer.</x:v>
      </x:c>
      <x:c r="F251" s="15" t="str">
        <x:v>Choose outside-Laria option.</x:v>
      </x:c>
      <x:c r="G251" s="15" t="str">
        <x:v>Listing remains sold; no verified transaction or reviews created.</x:v>
      </x:c>
      <x:c r="H251" s="15" t="str">
        <x:v>Seller</x:v>
      </x:c>
      <x:c r="I251" s="15" t="str">
        <x:v>E2E</x:v>
      </x:c>
      <x:c r="J251" s="15" t="str">
        <x:v>Automated</x:v>
      </x:c>
      <x:c r="K251" s="15" t="str">
        <x:v>P0</x:v>
      </x:c>
      <x:c r="L251" s="15" t="str">
        <x:v>Blocking</x:v>
      </x:c>
      <x:c r="M251" s="15" t="str">
        <x:v>L217-L230</x:v>
      </x:c>
      <x:c r="N251" s="15" t="str">
        <x:v>BUILD</x:v>
      </x:c>
      <x:c r="O251" s="15" t="str">
        <x:v>Not Run</x:v>
      </x:c>
      <x:c r="P251" s="15" t="str"/>
    </x:row>
    <x:row r="252">
      <x:c r="A252" s="15" t="str">
        <x:v>TX-005</x:v>
      </x:c>
      <x:c r="B252" s="15" t="str">
        <x:v>Transactions</x:v>
      </x:c>
      <x:c r="C252" s="15" t="str">
        <x:v>Verified transaction confirmation</x:v>
      </x:c>
      <x:c r="D252" s="15" t="str">
        <x:v>Selecting eligible buyer creates pending confirmation request</x:v>
      </x:c>
      <x:c r="E252" s="15" t="str">
        <x:v>Eligible buyer exists.</x:v>
      </x:c>
      <x:c r="F252" s="15" t="str">
        <x:v>Seller selects buyer.</x:v>
      </x:c>
      <x:c r="G252" s="15" t="str">
        <x:v>Pending confirmation relation created; buyer notification queued.</x:v>
      </x:c>
      <x:c r="H252" s="15" t="str">
        <x:v>Seller</x:v>
      </x:c>
      <x:c r="I252" s="15" t="str">
        <x:v>Integration</x:v>
      </x:c>
      <x:c r="J252" s="15" t="str">
        <x:v>Automated</x:v>
      </x:c>
      <x:c r="K252" s="15" t="str">
        <x:v>P0</x:v>
      </x:c>
      <x:c r="L252" s="15" t="str">
        <x:v>Blocking</x:v>
      </x:c>
      <x:c r="M252" s="15" t="str">
        <x:v>L217-L230</x:v>
      </x:c>
      <x:c r="N252" s="15" t="str">
        <x:v>BUILD</x:v>
      </x:c>
      <x:c r="O252" s="15" t="str">
        <x:v>Not Run</x:v>
      </x:c>
      <x:c r="P252" s="15" t="str"/>
    </x:row>
    <x:row r="253">
      <x:c r="A253" s="15" t="str">
        <x:v>TX-006</x:v>
      </x:c>
      <x:c r="B253" s="15" t="str">
        <x:v>Transactions</x:v>
      </x:c>
      <x:c r="C253" s="15" t="str">
        <x:v>Verified transaction confirmation</x:v>
      </x:c>
      <x:c r="D253" s="15" t="str">
        <x:v>Buyer sees correct listing/seller context in confirmation</x:v>
      </x:c>
      <x:c r="E253" s="15" t="str">
        <x:v>Pending confirmation.</x:v>
      </x:c>
      <x:c r="F253" s="15" t="str">
        <x:v>Buyer opens confirmation.</x:v>
      </x:c>
      <x:c r="G253" s="15" t="str">
        <x:v>Correct sale context shown without claiming payment verification.</x:v>
      </x:c>
      <x:c r="H253" s="15" t="str">
        <x:v>Buyer</x:v>
      </x:c>
      <x:c r="I253" s="15" t="str">
        <x:v>E2E</x:v>
      </x:c>
      <x:c r="J253" s="15" t="str">
        <x:v>Both</x:v>
      </x:c>
      <x:c r="K253" s="15" t="str">
        <x:v>P0</x:v>
      </x:c>
      <x:c r="L253" s="15" t="str">
        <x:v>Blocking</x:v>
      </x:c>
      <x:c r="M253" s="15" t="str">
        <x:v>L217-L230</x:v>
      </x:c>
      <x:c r="N253" s="15" t="str">
        <x:v>BUILD</x:v>
      </x:c>
      <x:c r="O253" s="15" t="str">
        <x:v>Not Run</x:v>
      </x:c>
      <x:c r="P253" s="15" t="str"/>
    </x:row>
    <x:row r="254">
      <x:c r="A254" s="15" t="str">
        <x:v>TX-007</x:v>
      </x:c>
      <x:c r="B254" s="15" t="str">
        <x:v>Transactions</x:v>
      </x:c>
      <x:c r="C254" s="15" t="str">
        <x:v>Verified transaction confirmation</x:v>
      </x:c>
      <x:c r="D254" s="15" t="str">
        <x:v>Buyer confirmation yes creates verified transaction</x:v>
      </x:c>
      <x:c r="E254" s="15" t="str">
        <x:v>Pending confirmation.</x:v>
      </x:c>
      <x:c r="F254" s="15" t="str">
        <x:v>Buyer selects Sí, lo compré.</x:v>
      </x:c>
      <x:c r="G254" s="15" t="str">
        <x:v>Exactly one verified transaction is created.</x:v>
      </x:c>
      <x:c r="H254" s="15" t="str">
        <x:v>Buyer</x:v>
      </x:c>
      <x:c r="I254" s="15" t="str">
        <x:v>Integration</x:v>
      </x:c>
      <x:c r="J254" s="15" t="str">
        <x:v>Automated</x:v>
      </x:c>
      <x:c r="K254" s="15" t="str">
        <x:v>P0</x:v>
      </x:c>
      <x:c r="L254" s="15" t="str">
        <x:v>Blocking</x:v>
      </x:c>
      <x:c r="M254" s="15" t="str">
        <x:v>L217-L230</x:v>
      </x:c>
      <x:c r="N254" s="15" t="str">
        <x:v>BUILD</x:v>
      </x:c>
      <x:c r="O254" s="15" t="str">
        <x:v>Not Run</x:v>
      </x:c>
      <x:c r="P254" s="15" t="str"/>
    </x:row>
    <x:row r="255">
      <x:c r="A255" s="15" t="str">
        <x:v>TX-008</x:v>
      </x:c>
      <x:c r="B255" s="15" t="str">
        <x:v>Transactions</x:v>
      </x:c>
      <x:c r="C255" s="15" t="str">
        <x:v>Verified transaction confirmation</x:v>
      </x:c>
      <x:c r="D255" s="15" t="str">
        <x:v>Buyer decline does not create verified transaction</x:v>
      </x:c>
      <x:c r="E255" s="15" t="str">
        <x:v>Pending confirmation.</x:v>
      </x:c>
      <x:c r="F255" s="15" t="str">
        <x:v>Buyer declines.</x:v>
      </x:c>
      <x:c r="G255" s="15" t="str">
        <x:v>Listing remains sold; no verified transaction/review eligibility.</x:v>
      </x:c>
      <x:c r="H255" s="15" t="str">
        <x:v>Buyer</x:v>
      </x:c>
      <x:c r="I255" s="15" t="str">
        <x:v>E2E</x:v>
      </x:c>
      <x:c r="J255" s="15" t="str">
        <x:v>Automated</x:v>
      </x:c>
      <x:c r="K255" s="15" t="str">
        <x:v>P0</x:v>
      </x:c>
      <x:c r="L255" s="15" t="str">
        <x:v>Blocking</x:v>
      </x:c>
      <x:c r="M255" s="15" t="str">
        <x:v>L217-L230</x:v>
      </x:c>
      <x:c r="N255" s="15" t="str">
        <x:v>BUILD</x:v>
      </x:c>
      <x:c r="O255" s="15" t="str">
        <x:v>Not Run</x:v>
      </x:c>
      <x:c r="P255" s="15" t="str"/>
    </x:row>
    <x:row r="256">
      <x:c r="A256" s="15" t="str">
        <x:v>TX-009</x:v>
      </x:c>
      <x:c r="B256" s="15" t="str">
        <x:v>Transactions</x:v>
      </x:c>
      <x:c r="C256" s="15" t="str">
        <x:v>Verified transaction confirmation</x:v>
      </x:c>
      <x:c r="D256" s="15" t="str">
        <x:v>No response does not auto-verify transaction</x:v>
      </x:c>
      <x:c r="E256" s="15" t="str">
        <x:v>Pending confirmation; no buyer action.</x:v>
      </x:c>
      <x:c r="F256" s="15" t="str">
        <x:v>Allow time/no action.</x:v>
      </x:c>
      <x:c r="G256" s="15" t="str">
        <x:v>Transaction remains unverified.</x:v>
      </x:c>
      <x:c r="H256" s="15" t="str">
        <x:v>Buyer</x:v>
      </x:c>
      <x:c r="I256" s="15" t="str">
        <x:v>Integration</x:v>
      </x:c>
      <x:c r="J256" s="15" t="str">
        <x:v>Automated</x:v>
      </x:c>
      <x:c r="K256" s="15" t="str">
        <x:v>P0</x:v>
      </x:c>
      <x:c r="L256" s="15" t="str">
        <x:v>Blocking</x:v>
      </x:c>
      <x:c r="M256" s="15" t="str">
        <x:v>L217-L230</x:v>
      </x:c>
      <x:c r="N256" s="15" t="str">
        <x:v>BUILD</x:v>
      </x:c>
      <x:c r="O256" s="15" t="str">
        <x:v>Not Run</x:v>
      </x:c>
      <x:c r="P256" s="15" t="str"/>
    </x:row>
    <x:row r="257">
      <x:c r="A257" s="15" t="str">
        <x:v>TX-010</x:v>
      </x:c>
      <x:c r="B257" s="15" t="str">
        <x:v>Transactions</x:v>
      </x:c>
      <x:c r="C257" s="15" t="str">
        <x:v>Verified transaction confirmation</x:v>
      </x:c>
      <x:c r="D257" s="15" t="str">
        <x:v>Buyer cannot confirm transaction assigned to another account</x:v>
      </x:c>
      <x:c r="E257" s="15" t="str">
        <x:v>Two buyers.</x:v>
      </x:c>
      <x:c r="F257" s="15" t="str">
        <x:v>Buyer B attempts A's confirmation link/API.</x:v>
      </x:c>
      <x:c r="G257" s="15" t="str">
        <x:v>Denied.</x:v>
      </x:c>
      <x:c r="H257" s="15" t="str">
        <x:v>Buyer</x:v>
      </x:c>
      <x:c r="I257" s="15" t="str">
        <x:v>Security</x:v>
      </x:c>
      <x:c r="J257" s="15" t="str">
        <x:v>Automated</x:v>
      </x:c>
      <x:c r="K257" s="15" t="str">
        <x:v>P0</x:v>
      </x:c>
      <x:c r="L257" s="15" t="str">
        <x:v>Blocking</x:v>
      </x:c>
      <x:c r="M257" s="15" t="str">
        <x:v>L217-L230</x:v>
      </x:c>
      <x:c r="N257" s="15" t="str">
        <x:v>BUILD</x:v>
      </x:c>
      <x:c r="O257" s="15" t="str">
        <x:v>Not Run</x:v>
      </x:c>
      <x:c r="P257" s="15" t="str"/>
    </x:row>
    <x:row r="258">
      <x:c r="A258" s="15" t="str">
        <x:v>TX-011</x:v>
      </x:c>
      <x:c r="B258" s="15" t="str">
        <x:v>Transactions</x:v>
      </x:c>
      <x:c r="C258" s="15" t="str">
        <x:v>Verified transaction confirmation</x:v>
      </x:c>
      <x:c r="D258" s="15" t="str">
        <x:v>Seller cannot swap buyer after transaction verified</x:v>
      </x:c>
      <x:c r="E258" s="15" t="str">
        <x:v>Verified transaction exists.</x:v>
      </x:c>
      <x:c r="F258" s="15" t="str">
        <x:v>Attempt change buyer.</x:v>
      </x:c>
      <x:c r="G258" s="15" t="str">
        <x:v>Historical verified relation remains immutable or follows explicit admin-only correction path.</x:v>
      </x:c>
      <x:c r="H258" s="15" t="str">
        <x:v>Seller</x:v>
      </x:c>
      <x:c r="I258" s="15" t="str">
        <x:v>DB/RLS</x:v>
      </x:c>
      <x:c r="J258" s="15" t="str">
        <x:v>Automated</x:v>
      </x:c>
      <x:c r="K258" s="15" t="str">
        <x:v>P0</x:v>
      </x:c>
      <x:c r="L258" s="15" t="str">
        <x:v>Blocking</x:v>
      </x:c>
      <x:c r="M258" s="15" t="str">
        <x:v>L217-L230</x:v>
      </x:c>
      <x:c r="N258" s="15" t="str">
        <x:v>BUILD</x:v>
      </x:c>
      <x:c r="O258" s="15" t="str">
        <x:v>Not Run</x:v>
      </x:c>
      <x:c r="P258" s="15" t="str"/>
    </x:row>
    <x:row r="259">
      <x:c r="A259" s="15" t="str">
        <x:v>TX-012</x:v>
      </x:c>
      <x:c r="B259" s="15" t="str">
        <x:v>Transactions</x:v>
      </x:c>
      <x:c r="C259" s="15" t="str">
        <x:v>Verified transaction confirmation</x:v>
      </x:c>
      <x:c r="D259" s="15" t="str">
        <x:v>Repeated yes confirmation is idempotent</x:v>
      </x:c>
      <x:c r="E259" s="15" t="str">
        <x:v>Buyer already confirmed.</x:v>
      </x:c>
      <x:c r="F259" s="15" t="str">
        <x:v>Repeat request.</x:v>
      </x:c>
      <x:c r="G259" s="15" t="str">
        <x:v>No duplicate verified transaction.</x:v>
      </x:c>
      <x:c r="H259" s="15" t="str">
        <x:v>Buyer</x:v>
      </x:c>
      <x:c r="I259" s="15" t="str">
        <x:v>API/DB</x:v>
      </x:c>
      <x:c r="J259" s="15" t="str">
        <x:v>Automated</x:v>
      </x:c>
      <x:c r="K259" s="15" t="str">
        <x:v>P0</x:v>
      </x:c>
      <x:c r="L259" s="15" t="str">
        <x:v>Blocking</x:v>
      </x:c>
      <x:c r="M259" s="15" t="str">
        <x:v>L217-L230</x:v>
      </x:c>
      <x:c r="N259" s="15" t="str">
        <x:v>BUILD</x:v>
      </x:c>
      <x:c r="O259" s="15" t="str">
        <x:v>Not Run</x:v>
      </x:c>
      <x:c r="P259" s="15" t="str"/>
    </x:row>
    <x:row r="260">
      <x:c r="A260" s="15" t="str">
        <x:v>TX-013</x:v>
      </x:c>
      <x:c r="B260" s="15" t="str">
        <x:v>Transactions</x:v>
      </x:c>
      <x:c r="C260" s="15" t="str">
        <x:v>Verified transaction confirmation</x:v>
      </x:c>
      <x:c r="D260" s="15" t="str">
        <x:v>Verified transaction does not verify price/payment/delivery</x:v>
      </x:c>
      <x:c r="E260" s="15" t="str">
        <x:v>Verified transaction exists.</x:v>
      </x:c>
      <x:c r="F260" s="15" t="str">
        <x:v>Inspect UI/copy.</x:v>
      </x:c>
      <x:c r="G260" s="15" t="str">
        <x:v>Copy accurately limits what verification means.</x:v>
      </x:c>
      <x:c r="H260" s="15" t="str">
        <x:v>All</x:v>
      </x:c>
      <x:c r="I260" s="15" t="str">
        <x:v>Manual</x:v>
      </x:c>
      <x:c r="J260" s="15" t="str">
        <x:v>Manual</x:v>
      </x:c>
      <x:c r="K260" s="15" t="str">
        <x:v>P0</x:v>
      </x:c>
      <x:c r="L260" s="15" t="str">
        <x:v>Blocking</x:v>
      </x:c>
      <x:c r="M260" s="15" t="str">
        <x:v>L217-L230</x:v>
      </x:c>
      <x:c r="N260" s="15" t="str">
        <x:v>BUILD</x:v>
      </x:c>
      <x:c r="O260" s="15" t="str">
        <x:v>Not Run</x:v>
      </x:c>
      <x:c r="P260" s="15" t="str"/>
    </x:row>
    <x:row r="261">
      <x:c r="A261" s="15" t="str">
        <x:v>TX-014</x:v>
      </x:c>
      <x:c r="B261" s="15" t="str">
        <x:v>Transactions</x:v>
      </x:c>
      <x:c r="C261" s="15" t="str">
        <x:v>Verified transaction confirmation</x:v>
      </x:c>
      <x:c r="D261" s="15" t="str">
        <x:v>Verified transaction remains attached to original sold listing after relist</x:v>
      </x:c>
      <x:c r="E261" s="15" t="str">
        <x:v>Verified sold listing relisted.</x:v>
      </x:c>
      <x:c r="F261" s="15" t="str">
        <x:v>Inspect relations.</x:v>
      </x:c>
      <x:c r="G261" s="15" t="str">
        <x:v>Transaction remains linked to original history, not new copy.</x:v>
      </x:c>
      <x:c r="H261" s="15" t="str">
        <x:v>Admin</x:v>
      </x:c>
      <x:c r="I261" s="15" t="str">
        <x:v>DB</x:v>
      </x:c>
      <x:c r="J261" s="15" t="str">
        <x:v>Automated</x:v>
      </x:c>
      <x:c r="K261" s="15" t="str">
        <x:v>P0</x:v>
      </x:c>
      <x:c r="L261" s="15" t="str">
        <x:v>Blocking</x:v>
      </x:c>
      <x:c r="M261" s="15" t="str">
        <x:v>L217-L230</x:v>
      </x:c>
      <x:c r="N261" s="15" t="str">
        <x:v>BUILD</x:v>
      </x:c>
      <x:c r="O261" s="15" t="str">
        <x:v>Not Run</x:v>
      </x:c>
      <x:c r="P261" s="15" t="str"/>
    </x:row>
    <x:row r="262">
      <x:c r="A262" s="15" t="str">
        <x:v>TX-015</x:v>
      </x:c>
      <x:c r="B262" s="15" t="str">
        <x:v>Transactions</x:v>
      </x:c>
      <x:c r="C262" s="15" t="str">
        <x:v>Verified transaction confirmation</x:v>
      </x:c>
      <x:c r="D262" s="15" t="str">
        <x:v>Store transaction seller identity is the store</x:v>
      </x:c>
      <x:c r="E262" s="15" t="str">
        <x:v>Store listing sold/confirmed.</x:v>
      </x:c>
      <x:c r="F262" s="15" t="str">
        <x:v>Inspect verified relation.</x:v>
      </x:c>
      <x:c r="G262" s="15" t="str">
        <x:v>Seller-side entity for review is store.</x:v>
      </x:c>
      <x:c r="H262" s="15" t="str">
        <x:v>Buyer</x:v>
      </x:c>
      <x:c r="I262" s="15" t="str">
        <x:v>DB</x:v>
      </x:c>
      <x:c r="J262" s="15" t="str">
        <x:v>Automated</x:v>
      </x:c>
      <x:c r="K262" s="15" t="str">
        <x:v>P0</x:v>
      </x:c>
      <x:c r="L262" s="15" t="str">
        <x:v>Blocking</x:v>
      </x:c>
      <x:c r="M262" s="15" t="str">
        <x:v>L217-L230</x:v>
      </x:c>
      <x:c r="N262" s="15" t="str">
        <x:v>BUILD</x:v>
      </x:c>
      <x:c r="O262" s="15" t="str">
        <x:v>Not Run</x:v>
      </x:c>
      <x:c r="P262" s="15" t="str"/>
    </x:row>
    <x:row r="263">
      <x:c r="A263" s="15" t="str">
        <x:v>TX-016</x:v>
      </x:c>
      <x:c r="B263" s="15" t="str">
        <x:v>Transactions</x:v>
      </x:c>
      <x:c r="C263" s="15" t="str">
        <x:v>Verified transaction confirmation</x:v>
      </x:c>
      <x:c r="D263" s="15" t="str">
        <x:v>Particular transaction seller identity is Particular account</x:v>
      </x:c>
      <x:c r="E263" s="15" t="str">
        <x:v>Individual listing sold/confirmed.</x:v>
      </x:c>
      <x:c r="F263" s="15" t="str">
        <x:v>Inspect relation.</x:v>
      </x:c>
      <x:c r="G263" s="15" t="str">
        <x:v>Seller-side entity is Particular account.</x:v>
      </x:c>
      <x:c r="H263" s="15" t="str">
        <x:v>Buyer</x:v>
      </x:c>
      <x:c r="I263" s="15" t="str">
        <x:v>DB</x:v>
      </x:c>
      <x:c r="J263" s="15" t="str">
        <x:v>Automated</x:v>
      </x:c>
      <x:c r="K263" s="15" t="str">
        <x:v>P0</x:v>
      </x:c>
      <x:c r="L263" s="15" t="str">
        <x:v>Blocking</x:v>
      </x:c>
      <x:c r="M263" s="15" t="str">
        <x:v>L217-L230</x:v>
      </x:c>
      <x:c r="N263" s="15" t="str">
        <x:v>BUILD</x:v>
      </x:c>
      <x:c r="O263" s="15" t="str">
        <x:v>Not Run</x:v>
      </x:c>
      <x:c r="P263" s="15" t="str"/>
    </x:row>
    <x:row r="264">
      <x:c r="A264" s="15" t="str">
        <x:v>REVW-001</x:v>
      </x:c>
      <x:c r="B264" s="15" t="str">
        <x:v>Reviews</x:v>
      </x:c>
      <x:c r="C264" s="15" t="str">
        <x:v>Two-way double-blind</x:v>
      </x:c>
      <x:c r="D264" s="15" t="str">
        <x:v>Verified transaction unlocks buyer review of seller/store</x:v>
      </x:c>
      <x:c r="E264" s="15" t="str">
        <x:v>Verified transaction.</x:v>
      </x:c>
      <x:c r="F264" s="15" t="str">
        <x:v>Open review flow as buyer.</x:v>
      </x:c>
      <x:c r="G264" s="15" t="str">
        <x:v>Review form available.</x:v>
      </x:c>
      <x:c r="H264" s="15" t="str">
        <x:v>Buyer</x:v>
      </x:c>
      <x:c r="I264" s="15" t="str">
        <x:v>E2E</x:v>
      </x:c>
      <x:c r="J264" s="15" t="str">
        <x:v>Automated</x:v>
      </x:c>
      <x:c r="K264" s="15" t="str">
        <x:v>P0</x:v>
      </x:c>
      <x:c r="L264" s="15" t="str">
        <x:v>Blocking</x:v>
      </x:c>
      <x:c r="M264" s="15" t="str">
        <x:v>L232-L240</x:v>
      </x:c>
      <x:c r="N264" s="15" t="str">
        <x:v>BUILD</x:v>
      </x:c>
      <x:c r="O264" s="15" t="str">
        <x:v>Not Run</x:v>
      </x:c>
      <x:c r="P264" s="15" t="str"/>
    </x:row>
    <x:row r="265">
      <x:c r="A265" s="15" t="str">
        <x:v>REVW-002</x:v>
      </x:c>
      <x:c r="B265" s="15" t="str">
        <x:v>Reviews</x:v>
      </x:c>
      <x:c r="C265" s="15" t="str">
        <x:v>Two-way double-blind</x:v>
      </x:c>
      <x:c r="D265" s="15" t="str">
        <x:v>Verified transaction unlocks seller/store review of buyer</x:v>
      </x:c>
      <x:c r="E265" s="15" t="str">
        <x:v>Verified transaction.</x:v>
      </x:c>
      <x:c r="F265" s="15" t="str">
        <x:v>Open review flow as seller.</x:v>
      </x:c>
      <x:c r="G265" s="15" t="str">
        <x:v>Review form available.</x:v>
      </x:c>
      <x:c r="H265" s="15" t="str">
        <x:v>Seller</x:v>
      </x:c>
      <x:c r="I265" s="15" t="str">
        <x:v>E2E</x:v>
      </x:c>
      <x:c r="J265" s="15" t="str">
        <x:v>Automated</x:v>
      </x:c>
      <x:c r="K265" s="15" t="str">
        <x:v>P0</x:v>
      </x:c>
      <x:c r="L265" s="15" t="str">
        <x:v>Blocking</x:v>
      </x:c>
      <x:c r="M265" s="15" t="str">
        <x:v>L232-L240</x:v>
      </x:c>
      <x:c r="N265" s="15" t="str">
        <x:v>BUILD</x:v>
      </x:c>
      <x:c r="O265" s="15" t="str">
        <x:v>Not Run</x:v>
      </x:c>
      <x:c r="P265" s="15" t="str"/>
    </x:row>
    <x:row r="266">
      <x:c r="A266" s="15" t="str">
        <x:v>REVW-003</x:v>
      </x:c>
      <x:c r="B266" s="15" t="str">
        <x:v>Reviews</x:v>
      </x:c>
      <x:c r="C266" s="15" t="str">
        <x:v>Two-way double-blind</x:v>
      </x:c>
      <x:c r="D266" s="15" t="str">
        <x:v>Unverified sold listing does not unlock reviews</x:v>
      </x:c>
      <x:c r="E266" s="15" t="str">
        <x:v>Sold but unverified transaction.</x:v>
      </x:c>
      <x:c r="F266" s="15" t="str">
        <x:v>Open review flow.</x:v>
      </x:c>
      <x:c r="G266" s="15" t="str">
        <x:v>Reviews unavailable.</x:v>
      </x:c>
      <x:c r="H266" s="15" t="str">
        <x:v>All</x:v>
      </x:c>
      <x:c r="I266" s="15" t="str">
        <x:v>E2E</x:v>
      </x:c>
      <x:c r="J266" s="15" t="str">
        <x:v>Automated</x:v>
      </x:c>
      <x:c r="K266" s="15" t="str">
        <x:v>P0</x:v>
      </x:c>
      <x:c r="L266" s="15" t="str">
        <x:v>Blocking</x:v>
      </x:c>
      <x:c r="M266" s="15" t="str">
        <x:v>L232-L240</x:v>
      </x:c>
      <x:c r="N266" s="15" t="str">
        <x:v>BUILD</x:v>
      </x:c>
      <x:c r="O266" s="15" t="str">
        <x:v>Not Run</x:v>
      </x:c>
      <x:c r="P266" s="15" t="str"/>
    </x:row>
    <x:row r="267">
      <x:c r="A267" s="15" t="str">
        <x:v>REVW-004</x:v>
      </x:c>
      <x:c r="B267" s="15" t="str">
        <x:v>Reviews</x:v>
      </x:c>
      <x:c r="C267" s="15" t="str">
        <x:v>Two-way double-blind</x:v>
      </x:c>
      <x:c r="D267" s="15" t="str">
        <x:v>Rating requires integer/valid 1–5 value</x:v>
      </x:c>
      <x:c r="E267" s="15" t="str">
        <x:v>Verified transaction.</x:v>
      </x:c>
      <x:c r="F267" s="15" t="str">
        <x:v>Submit missing/out-of-range rating.</x:v>
      </x:c>
      <x:c r="G267" s="15" t="str">
        <x:v>Rejected.</x:v>
      </x:c>
      <x:c r="H267" s="15" t="str">
        <x:v>All</x:v>
      </x:c>
      <x:c r="I267" s="15" t="str">
        <x:v>API</x:v>
      </x:c>
      <x:c r="J267" s="15" t="str">
        <x:v>Automated</x:v>
      </x:c>
      <x:c r="K267" s="15" t="str">
        <x:v>P0</x:v>
      </x:c>
      <x:c r="L267" s="15" t="str">
        <x:v>Blocking</x:v>
      </x:c>
      <x:c r="M267" s="15" t="str">
        <x:v>L232-L240</x:v>
      </x:c>
      <x:c r="N267" s="15" t="str">
        <x:v>BUILD</x:v>
      </x:c>
      <x:c r="O267" s="15" t="str">
        <x:v>Not Run</x:v>
      </x:c>
      <x:c r="P267" s="15" t="str"/>
    </x:row>
    <x:row r="268">
      <x:c r="A268" s="15" t="str">
        <x:v>REVW-005</x:v>
      </x:c>
      <x:c r="B268" s="15" t="str">
        <x:v>Reviews</x:v>
      </x:c>
      <x:c r="C268" s="15" t="str">
        <x:v>Two-way double-blind</x:v>
      </x:c>
      <x:c r="D268" s="15" t="str">
        <x:v>Optional comment may be blank</x:v>
      </x:c>
      <x:c r="E268" s="15" t="str">
        <x:v>Verified transaction.</x:v>
      </x:c>
      <x:c r="F268" s="15" t="str">
        <x:v>Submit valid stars with no comment.</x:v>
      </x:c>
      <x:c r="G268" s="15" t="str">
        <x:v>Review accepted.</x:v>
      </x:c>
      <x:c r="H268" s="15" t="str">
        <x:v>All</x:v>
      </x:c>
      <x:c r="I268" s="15" t="str">
        <x:v>E2E</x:v>
      </x:c>
      <x:c r="J268" s="15" t="str">
        <x:v>Automated</x:v>
      </x:c>
      <x:c r="K268" s="15" t="str">
        <x:v>P1</x:v>
      </x:c>
      <x:c r="L268" s="15" t="str">
        <x:v>Blocking</x:v>
      </x:c>
      <x:c r="M268" s="15" t="str">
        <x:v>L232-L240</x:v>
      </x:c>
      <x:c r="N268" s="15" t="str">
        <x:v>BUILD</x:v>
      </x:c>
      <x:c r="O268" s="15" t="str">
        <x:v>Not Run</x:v>
      </x:c>
      <x:c r="P268" s="15" t="str"/>
    </x:row>
    <x:row r="269">
      <x:c r="A269" s="15" t="str">
        <x:v>REVW-006</x:v>
      </x:c>
      <x:c r="B269" s="15" t="str">
        <x:v>Reviews</x:v>
      </x:c>
      <x:c r="C269" s="15" t="str">
        <x:v>Two-way double-blind</x:v>
      </x:c>
      <x:c r="D269" s="15" t="str">
        <x:v>One buyer review per transaction</x:v>
      </x:c>
      <x:c r="E269" s="15" t="str">
        <x:v>Buyer already reviewed.</x:v>
      </x:c>
      <x:c r="F269" s="15" t="str">
        <x:v>Submit again.</x:v>
      </x:c>
      <x:c r="G269" s="15" t="str">
        <x:v>Duplicate rejected/idempotent according to API design.</x:v>
      </x:c>
      <x:c r="H269" s="15" t="str">
        <x:v>Buyer</x:v>
      </x:c>
      <x:c r="I269" s="15" t="str">
        <x:v>DB</x:v>
      </x:c>
      <x:c r="J269" s="15" t="str">
        <x:v>Automated</x:v>
      </x:c>
      <x:c r="K269" s="15" t="str">
        <x:v>P0</x:v>
      </x:c>
      <x:c r="L269" s="15" t="str">
        <x:v>Blocking</x:v>
      </x:c>
      <x:c r="M269" s="15" t="str">
        <x:v>L232-L240</x:v>
      </x:c>
      <x:c r="N269" s="15" t="str">
        <x:v>BUILD</x:v>
      </x:c>
      <x:c r="O269" s="15" t="str">
        <x:v>Not Run</x:v>
      </x:c>
      <x:c r="P269" s="15" t="str"/>
    </x:row>
    <x:row r="270">
      <x:c r="A270" s="15" t="str">
        <x:v>REVW-007</x:v>
      </x:c>
      <x:c r="B270" s="15" t="str">
        <x:v>Reviews</x:v>
      </x:c>
      <x:c r="C270" s="15" t="str">
        <x:v>Two-way double-blind</x:v>
      </x:c>
      <x:c r="D270" s="15" t="str">
        <x:v>One seller review per transaction</x:v>
      </x:c>
      <x:c r="E270" s="15" t="str">
        <x:v>Seller already reviewed.</x:v>
      </x:c>
      <x:c r="F270" s="15" t="str">
        <x:v>Submit again.</x:v>
      </x:c>
      <x:c r="G270" s="15" t="str">
        <x:v>Duplicate rejected/idempotent.</x:v>
      </x:c>
      <x:c r="H270" s="15" t="str">
        <x:v>Seller</x:v>
      </x:c>
      <x:c r="I270" s="15" t="str">
        <x:v>DB</x:v>
      </x:c>
      <x:c r="J270" s="15" t="str">
        <x:v>Automated</x:v>
      </x:c>
      <x:c r="K270" s="15" t="str">
        <x:v>P0</x:v>
      </x:c>
      <x:c r="L270" s="15" t="str">
        <x:v>Blocking</x:v>
      </x:c>
      <x:c r="M270" s="15" t="str">
        <x:v>L232-L240</x:v>
      </x:c>
      <x:c r="N270" s="15" t="str">
        <x:v>BUILD</x:v>
      </x:c>
      <x:c r="O270" s="15" t="str">
        <x:v>Not Run</x:v>
      </x:c>
      <x:c r="P270" s="15" t="str"/>
    </x:row>
    <x:row r="271">
      <x:c r="A271" s="15" t="str">
        <x:v>REVW-008</x:v>
      </x:c>
      <x:c r="B271" s="15" t="str">
        <x:v>Reviews</x:v>
      </x:c>
      <x:c r="C271" s="15" t="str">
        <x:v>Two-way double-blind</x:v>
      </x:c>
      <x:c r="D271" s="15" t="str">
        <x:v>First review remains hidden while other side can still submit</x:v>
      </x:c>
      <x:c r="E271" s="15" t="str">
        <x:v>Only one side reviewed before deadline.</x:v>
      </x:c>
      <x:c r="F271" s="15" t="str">
        <x:v>View as counterparty/public.</x:v>
      </x:c>
      <x:c r="G271" s="15" t="str">
        <x:v>Review content/rating is not revealed.</x:v>
      </x:c>
      <x:c r="H271" s="15" t="str">
        <x:v>All</x:v>
      </x:c>
      <x:c r="I271" s="15" t="str">
        <x:v>E2E</x:v>
      </x:c>
      <x:c r="J271" s="15" t="str">
        <x:v>Automated</x:v>
      </x:c>
      <x:c r="K271" s="15" t="str">
        <x:v>P0</x:v>
      </x:c>
      <x:c r="L271" s="15" t="str">
        <x:v>Blocking</x:v>
      </x:c>
      <x:c r="M271" s="15" t="str">
        <x:v>L232-L240</x:v>
      </x:c>
      <x:c r="N271" s="15" t="str">
        <x:v>BUILD</x:v>
      </x:c>
      <x:c r="O271" s="15" t="str">
        <x:v>Not Run</x:v>
      </x:c>
      <x:c r="P271" s="15" t="str"/>
    </x:row>
    <x:row r="272">
      <x:c r="A272" s="15" t="str">
        <x:v>REVW-009</x:v>
      </x:c>
      <x:c r="B272" s="15" t="str">
        <x:v>Reviews</x:v>
      </x:c>
      <x:c r="C272" s="15" t="str">
        <x:v>Two-way double-blind</x:v>
      </x:c>
      <x:c r="D272" s="15" t="str">
        <x:v>Both reviews reveal immediately when both submit</x:v>
      </x:c>
      <x:c r="E272" s="15" t="str">
        <x:v>Both sides submit before 10 days.</x:v>
      </x:c>
      <x:c r="F272" s="15" t="str">
        <x:v>Refresh review surfaces.</x:v>
      </x:c>
      <x:c r="G272" s="15" t="str">
        <x:v>Both become visible together.</x:v>
      </x:c>
      <x:c r="H272" s="15" t="str">
        <x:v>All</x:v>
      </x:c>
      <x:c r="I272" s="15" t="str">
        <x:v>Integration</x:v>
      </x:c>
      <x:c r="J272" s="15" t="str">
        <x:v>Automated</x:v>
      </x:c>
      <x:c r="K272" s="15" t="str">
        <x:v>P0</x:v>
      </x:c>
      <x:c r="L272" s="15" t="str">
        <x:v>Blocking</x:v>
      </x:c>
      <x:c r="M272" s="15" t="str">
        <x:v>L232-L240</x:v>
      </x:c>
      <x:c r="N272" s="15" t="str">
        <x:v>BUILD</x:v>
      </x:c>
      <x:c r="O272" s="15" t="str">
        <x:v>Not Run</x:v>
      </x:c>
      <x:c r="P272" s="15" t="str"/>
    </x:row>
    <x:row r="273">
      <x:c r="A273" s="15" t="str">
        <x:v>REVW-010</x:v>
      </x:c>
      <x:c r="B273" s="15" t="str">
        <x:v>Reviews</x:v>
      </x:c>
      <x:c r="C273" s="15" t="str">
        <x:v>Two-way double-blind</x:v>
      </x:c>
      <x:c r="D273" s="15" t="str">
        <x:v>Single submitted review reveals after 10-day window</x:v>
      </x:c>
      <x:c r="E273" s="15" t="str">
        <x:v>One side submitted; other did not.</x:v>
      </x:c>
      <x:c r="F273" s="15" t="str">
        <x:v>Advance scheduler/time past 10 days.</x:v>
      </x:c>
      <x:c r="G273" s="15" t="str">
        <x:v>Submitted review becomes public/visible per rules.</x:v>
      </x:c>
      <x:c r="H273" s="15" t="str">
        <x:v>All</x:v>
      </x:c>
      <x:c r="I273" s="15" t="str">
        <x:v>Integration</x:v>
      </x:c>
      <x:c r="J273" s="15" t="str">
        <x:v>Automated</x:v>
      </x:c>
      <x:c r="K273" s="15" t="str">
        <x:v>P0</x:v>
      </x:c>
      <x:c r="L273" s="15" t="str">
        <x:v>Blocking</x:v>
      </x:c>
      <x:c r="M273" s="15" t="str">
        <x:v>L232-L240</x:v>
      </x:c>
      <x:c r="N273" s="15" t="str">
        <x:v>BUILD</x:v>
      </x:c>
      <x:c r="O273" s="15" t="str">
        <x:v>Not Run</x:v>
      </x:c>
      <x:c r="P273" s="15" t="str"/>
    </x:row>
    <x:row r="274">
      <x:c r="A274" s="15" t="str">
        <x:v>REVW-011</x:v>
      </x:c>
      <x:c r="B274" s="15" t="str">
        <x:v>Reviews</x:v>
      </x:c>
      <x:c r="C274" s="15" t="str">
        <x:v>Two-way double-blind</x:v>
      </x:c>
      <x:c r="D274" s="15" t="str">
        <x:v>No review can be submitted after defined window if workflow closes at 10 days</x:v>
      </x:c>
      <x:c r="E274" s="15" t="str">
        <x:v>Verified transaction &gt;10 days.</x:v>
      </x:c>
      <x:c r="F274" s="15" t="str">
        <x:v>Attempt new review.</x:v>
      </x:c>
      <x:c r="G274" s="15" t="str">
        <x:v>Behavior follows fixed review-window rule consistently.</x:v>
      </x:c>
      <x:c r="H274" s="15" t="str">
        <x:v>All</x:v>
      </x:c>
      <x:c r="I274" s="15" t="str">
        <x:v>Integration</x:v>
      </x:c>
      <x:c r="J274" s="15" t="str">
        <x:v>Automated</x:v>
      </x:c>
      <x:c r="K274" s="15" t="str">
        <x:v>P1</x:v>
      </x:c>
      <x:c r="L274" s="15" t="str">
        <x:v>Blocking</x:v>
      </x:c>
      <x:c r="M274" s="15" t="str">
        <x:v>L232-L240</x:v>
      </x:c>
      <x:c r="N274" s="15" t="str">
        <x:v>BUILD</x:v>
      </x:c>
      <x:c r="O274" s="15" t="str">
        <x:v>Not Run</x:v>
      </x:c>
      <x:c r="P274" s="15" t="str"/>
    </x:row>
    <x:row r="275">
      <x:c r="A275" s="15" t="str">
        <x:v>REVW-012</x:v>
      </x:c>
      <x:c r="B275" s="15" t="str">
        <x:v>Reviews</x:v>
      </x:c>
      <x:c r="C275" s="15" t="str">
        <x:v>Two-way double-blind</x:v>
      </x:c>
      <x:c r="D275" s="15" t="str">
        <x:v>Counterparty cannot infer hidden rating before reveal</x:v>
      </x:c>
      <x:c r="E275" s="15" t="str">
        <x:v>One hidden review exists.</x:v>
      </x:c>
      <x:c r="F275" s="15" t="str">
        <x:v>Inspect APIs/UI as other side.</x:v>
      </x:c>
      <x:c r="G275" s="15" t="str">
        <x:v>No stars/comment/aggregate leakage reveals hidden review.</x:v>
      </x:c>
      <x:c r="H275" s="15" t="str">
        <x:v>All</x:v>
      </x:c>
      <x:c r="I275" s="15" t="str">
        <x:v>Security</x:v>
      </x:c>
      <x:c r="J275" s="15" t="str">
        <x:v>Automated</x:v>
      </x:c>
      <x:c r="K275" s="15" t="str">
        <x:v>P0</x:v>
      </x:c>
      <x:c r="L275" s="15" t="str">
        <x:v>Blocking</x:v>
      </x:c>
      <x:c r="M275" s="15" t="str">
        <x:v>L232-L240</x:v>
      </x:c>
      <x:c r="N275" s="15" t="str">
        <x:v>BUILD</x:v>
      </x:c>
      <x:c r="O275" s="15" t="str">
        <x:v>Not Run</x:v>
      </x:c>
      <x:c r="P275" s="15" t="str"/>
    </x:row>
    <x:row r="276">
      <x:c r="A276" s="15" t="str">
        <x:v>REVW-013</x:v>
      </x:c>
      <x:c r="B276" s="15" t="str">
        <x:v>Reviews</x:v>
      </x:c>
      <x:c r="C276" s="15" t="str">
        <x:v>Two-way double-blind</x:v>
      </x:c>
      <x:c r="D276" s="15" t="str">
        <x:v>Published review cannot be freely edited</x:v>
      </x:c>
      <x:c r="E276" s="15" t="str">
        <x:v>Published review.</x:v>
      </x:c>
      <x:c r="F276" s="15" t="str">
        <x:v>Attempt edit.</x:v>
      </x:c>
      <x:c r="G276" s="15" t="str">
        <x:v>User edit is denied.</x:v>
      </x:c>
      <x:c r="H276" s="15" t="str">
        <x:v>All</x:v>
      </x:c>
      <x:c r="I276" s="15" t="str">
        <x:v>DB/RLS</x:v>
      </x:c>
      <x:c r="J276" s="15" t="str">
        <x:v>Automated</x:v>
      </x:c>
      <x:c r="K276" s="15" t="str">
        <x:v>P0</x:v>
      </x:c>
      <x:c r="L276" s="15" t="str">
        <x:v>Blocking</x:v>
      </x:c>
      <x:c r="M276" s="15" t="str">
        <x:v>L232-L240</x:v>
      </x:c>
      <x:c r="N276" s="15" t="str">
        <x:v>BUILD</x:v>
      </x:c>
      <x:c r="O276" s="15" t="str">
        <x:v>Not Run</x:v>
      </x:c>
      <x:c r="P276" s="15" t="str"/>
    </x:row>
    <x:row r="277">
      <x:c r="A277" s="15" t="str">
        <x:v>REVW-014</x:v>
      </x:c>
      <x:c r="B277" s="15" t="str">
        <x:v>Reviews</x:v>
      </x:c>
      <x:c r="C277" s="15" t="str">
        <x:v>Two-way double-blind</x:v>
      </x:c>
      <x:c r="D277" s="15" t="str">
        <x:v>Published review cannot be freely deleted</x:v>
      </x:c>
      <x:c r="E277" s="15" t="str">
        <x:v>Published review.</x:v>
      </x:c>
      <x:c r="F277" s="15" t="str">
        <x:v>Attempt delete.</x:v>
      </x:c>
      <x:c r="G277" s="15" t="str">
        <x:v>User delete is denied.</x:v>
      </x:c>
      <x:c r="H277" s="15" t="str">
        <x:v>All</x:v>
      </x:c>
      <x:c r="I277" s="15" t="str">
        <x:v>DB/RLS</x:v>
      </x:c>
      <x:c r="J277" s="15" t="str">
        <x:v>Automated</x:v>
      </x:c>
      <x:c r="K277" s="15" t="str">
        <x:v>P0</x:v>
      </x:c>
      <x:c r="L277" s="15" t="str">
        <x:v>Blocking</x:v>
      </x:c>
      <x:c r="M277" s="15" t="str">
        <x:v>L232-L240</x:v>
      </x:c>
      <x:c r="N277" s="15" t="str">
        <x:v>BUILD</x:v>
      </x:c>
      <x:c r="O277" s="15" t="str">
        <x:v>Not Run</x:v>
      </x:c>
      <x:c r="P277" s="15" t="str"/>
    </x:row>
    <x:row r="278">
      <x:c r="A278" s="15" t="str">
        <x:v>REVW-015</x:v>
      </x:c>
      <x:c r="B278" s="15" t="str">
        <x:v>Reviews</x:v>
      </x:c>
      <x:c r="C278" s="15" t="str">
        <x:v>Two-way double-blind</x:v>
      </x:c>
      <x:c r="D278" s="15" t="str">
        <x:v>User can report published review</x:v>
      </x:c>
      <x:c r="E278" s="15" t="str">
        <x:v>Visible review.</x:v>
      </x:c>
      <x:c r="F278" s="15" t="str">
        <x:v>Report it.</x:v>
      </x:c>
      <x:c r="G278" s="15" t="str">
        <x:v>Report enters moderation system.</x:v>
      </x:c>
      <x:c r="H278" s="15" t="str">
        <x:v>All</x:v>
      </x:c>
      <x:c r="I278" s="15" t="str">
        <x:v>E2E</x:v>
      </x:c>
      <x:c r="J278" s="15" t="str">
        <x:v>Automated</x:v>
      </x:c>
      <x:c r="K278" s="15" t="str">
        <x:v>P1</x:v>
      </x:c>
      <x:c r="L278" s="15" t="str">
        <x:v>Blocking</x:v>
      </x:c>
      <x:c r="M278" s="15" t="str">
        <x:v>L232-L240</x:v>
      </x:c>
      <x:c r="N278" s="15" t="str">
        <x:v>BUILD</x:v>
      </x:c>
      <x:c r="O278" s="15" t="str">
        <x:v>Not Run</x:v>
      </x:c>
      <x:c r="P278" s="15" t="str"/>
    </x:row>
    <x:row r="279">
      <x:c r="A279" s="15" t="str">
        <x:v>REVW-016</x:v>
      </x:c>
      <x:c r="B279" s="15" t="str">
        <x:v>Reviews</x:v>
      </x:c>
      <x:c r="C279" s="15" t="str">
        <x:v>Two-way double-blind</x:v>
      </x:c>
      <x:c r="D279" s="15" t="str">
        <x:v>Admin can hide abusive review without rewriting it</x:v>
      </x:c>
      <x:c r="E279" s="15" t="str">
        <x:v>Published review.</x:v>
      </x:c>
      <x:c r="F279" s="15" t="str">
        <x:v>Admin hides.</x:v>
      </x:c>
      <x:c r="G279" s="15" t="str">
        <x:v>Review becomes nonpublic; original text remains immutable/auditable.</x:v>
      </x:c>
      <x:c r="H279" s="15" t="str">
        <x:v>Admin</x:v>
      </x:c>
      <x:c r="I279" s="15" t="str">
        <x:v>E2E</x:v>
      </x:c>
      <x:c r="J279" s="15" t="str">
        <x:v>Automated</x:v>
      </x:c>
      <x:c r="K279" s="15" t="str">
        <x:v>P0</x:v>
      </x:c>
      <x:c r="L279" s="15" t="str">
        <x:v>Blocking</x:v>
      </x:c>
      <x:c r="M279" s="15" t="str">
        <x:v>L232-L240</x:v>
      </x:c>
      <x:c r="N279" s="15" t="str">
        <x:v>BUILD</x:v>
      </x:c>
      <x:c r="O279" s="15" t="str">
        <x:v>Not Run</x:v>
      </x:c>
      <x:c r="P279" s="15" t="str"/>
    </x:row>
    <x:row r="280">
      <x:c r="A280" s="15" t="str">
        <x:v>REVW-017</x:v>
      </x:c>
      <x:c r="B280" s="15" t="str">
        <x:v>Reviews</x:v>
      </x:c>
      <x:c r="C280" s="15" t="str">
        <x:v>Two-way double-blind</x:v>
      </x:c>
      <x:c r="D280" s="15" t="str">
        <x:v>Admin cannot edit review body through normal moderation UI</x:v>
      </x:c>
      <x:c r="E280" s="15" t="str">
        <x:v>Published review.</x:v>
      </x:c>
      <x:c r="F280" s="15" t="str">
        <x:v>Inspect admin actions.</x:v>
      </x:c>
      <x:c r="G280" s="15" t="str">
        <x:v>Only hide/resolve actions exist; no rewrite action.</x:v>
      </x:c>
      <x:c r="H280" s="15" t="str">
        <x:v>Admin</x:v>
      </x:c>
      <x:c r="I280" s="15" t="str">
        <x:v>Manual</x:v>
      </x:c>
      <x:c r="J280" s="15" t="str">
        <x:v>Both</x:v>
      </x:c>
      <x:c r="K280" s="15" t="str">
        <x:v>P0</x:v>
      </x:c>
      <x:c r="L280" s="15" t="str">
        <x:v>Blocking</x:v>
      </x:c>
      <x:c r="M280" s="15" t="str">
        <x:v>L232-L240</x:v>
      </x:c>
      <x:c r="N280" s="15" t="str">
        <x:v>BUILD</x:v>
      </x:c>
      <x:c r="O280" s="15" t="str">
        <x:v>Not Run</x:v>
      </x:c>
      <x:c r="P280" s="15" t="str"/>
    </x:row>
    <x:row r="281">
      <x:c r="A281" s="15" t="str">
        <x:v>REVW-018</x:v>
      </x:c>
      <x:c r="B281" s="15" t="str">
        <x:v>Reviews</x:v>
      </x:c>
      <x:c r="C281" s="15" t="str">
        <x:v>Two-way double-blind</x:v>
      </x:c>
      <x:c r="D281" s="15" t="str">
        <x:v>Store rating aggregates against store entity</x:v>
      </x:c>
      <x:c r="E281" s="15" t="str">
        <x:v>Multiple verified store reviews.</x:v>
      </x:c>
      <x:c r="F281" s="15" t="str">
        <x:v>Inspect store rating.</x:v>
      </x:c>
      <x:c r="G281" s="15" t="str">
        <x:v>Aggregation belongs to store.</x:v>
      </x:c>
      <x:c r="H281" s="15" t="str">
        <x:v>Anonymous</x:v>
      </x:c>
      <x:c r="I281" s="15" t="str">
        <x:v>Integration</x:v>
      </x:c>
      <x:c r="J281" s="15" t="str">
        <x:v>Automated</x:v>
      </x:c>
      <x:c r="K281" s="15" t="str">
        <x:v>P1</x:v>
      </x:c>
      <x:c r="L281" s="15" t="str">
        <x:v>Blocking</x:v>
      </x:c>
      <x:c r="M281" s="15" t="str">
        <x:v>L232-L240</x:v>
      </x:c>
      <x:c r="N281" s="15" t="str">
        <x:v>BUILD</x:v>
      </x:c>
      <x:c r="O281" s="15" t="str">
        <x:v>Not Run</x:v>
      </x:c>
      <x:c r="P281" s="15" t="str"/>
    </x:row>
    <x:row r="282">
      <x:c r="A282" s="15" t="str">
        <x:v>REVW-019</x:v>
      </x:c>
      <x:c r="B282" s="15" t="str">
        <x:v>Reviews</x:v>
      </x:c>
      <x:c r="C282" s="15" t="str">
        <x:v>Two-way double-blind</x:v>
      </x:c>
      <x:c r="D282" s="15" t="str">
        <x:v>Particular rating aggregates against Particular seller identity</x:v>
      </x:c>
      <x:c r="E282" s="15" t="str">
        <x:v>Multiple verified individual reviews.</x:v>
      </x:c>
      <x:c r="F282" s="15" t="str">
        <x:v>Inspect seller rating.</x:v>
      </x:c>
      <x:c r="G282" s="15" t="str">
        <x:v>Aggregation belongs to Particular account.</x:v>
      </x:c>
      <x:c r="H282" s="15" t="str">
        <x:v>Anonymous</x:v>
      </x:c>
      <x:c r="I282" s="15" t="str">
        <x:v>Integration</x:v>
      </x:c>
      <x:c r="J282" s="15" t="str">
        <x:v>Automated</x:v>
      </x:c>
      <x:c r="K282" s="15" t="str">
        <x:v>P1</x:v>
      </x:c>
      <x:c r="L282" s="15" t="str">
        <x:v>Blocking</x:v>
      </x:c>
      <x:c r="M282" s="15" t="str">
        <x:v>L232-L240</x:v>
      </x:c>
      <x:c r="N282" s="15" t="str">
        <x:v>BUILD</x:v>
      </x:c>
      <x:c r="O282" s="15" t="str">
        <x:v>Not Run</x:v>
      </x:c>
      <x:c r="P282" s="15" t="str"/>
    </x:row>
    <x:row r="283">
      <x:c r="A283" s="15" t="str">
        <x:v>REVW-020</x:v>
      </x:c>
      <x:c r="B283" s="15" t="str">
        <x:v>Reviews</x:v>
      </x:c>
      <x:c r="C283" s="15" t="str">
        <x:v>Two-way double-blind</x:v>
      </x:c>
      <x:c r="D283" s="15" t="str">
        <x:v>Review UI does not claim Laria processed transaction</x:v>
      </x:c>
      <x:c r="E283" s="15" t="str">
        <x:v>Published reviews.</x:v>
      </x:c>
      <x:c r="F283" s="15" t="str">
        <x:v>Inspect labels/help.</x:v>
      </x:c>
      <x:c r="G283" s="15" t="str">
        <x:v>Wording preserves off-platform transaction limitation.</x:v>
      </x:c>
      <x:c r="H283" s="15" t="str">
        <x:v>Anonymous</x:v>
      </x:c>
      <x:c r="I283" s="15" t="str">
        <x:v>Manual</x:v>
      </x:c>
      <x:c r="J283" s="15" t="str">
        <x:v>Manual</x:v>
      </x:c>
      <x:c r="K283" s="15" t="str">
        <x:v>P0</x:v>
      </x:c>
      <x:c r="L283" s="15" t="str">
        <x:v>Blocking</x:v>
      </x:c>
      <x:c r="M283" s="15" t="str">
        <x:v>L232-L240</x:v>
      </x:c>
      <x:c r="N283" s="15" t="str">
        <x:v>BUILD</x:v>
      </x:c>
      <x:c r="O283" s="15" t="str">
        <x:v>Not Run</x:v>
      </x:c>
      <x:c r="P283" s="15" t="str"/>
    </x:row>
    <x:row r="284">
      <x:c r="A284" s="15" t="str">
        <x:v>REP-001</x:v>
      </x:c>
      <x:c r="B284" s="15" t="str">
        <x:v>Trust &amp; Safety</x:v>
      </x:c>
      <x:c r="C284" s="15" t="str">
        <x:v>Reports</x:v>
      </x:c>
      <x:c r="D284" s="15" t="str">
        <x:v>User can report listing</x:v>
      </x:c>
      <x:c r="E284" s="15" t="str">
        <x:v>Reportable listing.</x:v>
      </x:c>
      <x:c r="F284" s="15" t="str">
        <x:v>Submit fixed reason + optional detail.</x:v>
      </x:c>
      <x:c r="G284" s="15" t="str">
        <x:v>Report created with target listing, reason, timestamp and reporter where applicable.</x:v>
      </x:c>
      <x:c r="H284" s="15" t="str">
        <x:v>User</x:v>
      </x:c>
      <x:c r="I284" s="15" t="str">
        <x:v>E2E</x:v>
      </x:c>
      <x:c r="J284" s="15" t="str">
        <x:v>Automated</x:v>
      </x:c>
      <x:c r="K284" s="15" t="str">
        <x:v>P0</x:v>
      </x:c>
      <x:c r="L284" s="15" t="str">
        <x:v>Blocking</x:v>
      </x:c>
      <x:c r="M284" s="15" t="str">
        <x:v>L242-L244</x:v>
      </x:c>
      <x:c r="N284" s="15" t="str">
        <x:v>BUILD</x:v>
      </x:c>
      <x:c r="O284" s="15" t="str">
        <x:v>Not Run</x:v>
      </x:c>
      <x:c r="P284" s="15" t="str"/>
    </x:row>
    <x:row r="285">
      <x:c r="A285" s="15" t="str">
        <x:v>REP-002</x:v>
      </x:c>
      <x:c r="B285" s="15" t="str">
        <x:v>Trust &amp; Safety</x:v>
      </x:c>
      <x:c r="C285" s="15" t="str">
        <x:v>Reports</x:v>
      </x:c>
      <x:c r="D285" s="15" t="str">
        <x:v>User can report store</x:v>
      </x:c>
      <x:c r="E285" s="15" t="str">
        <x:v>Public store.</x:v>
      </x:c>
      <x:c r="F285" s="15" t="str">
        <x:v>Submit report.</x:v>
      </x:c>
      <x:c r="G285" s="15" t="str">
        <x:v>Report created with correct target.</x:v>
      </x:c>
      <x:c r="H285" s="15" t="str">
        <x:v>User</x:v>
      </x:c>
      <x:c r="I285" s="15" t="str">
        <x:v>E2E</x:v>
      </x:c>
      <x:c r="J285" s="15" t="str">
        <x:v>Automated</x:v>
      </x:c>
      <x:c r="K285" s="15" t="str">
        <x:v>P1</x:v>
      </x:c>
      <x:c r="L285" s="15" t="str">
        <x:v>Blocking</x:v>
      </x:c>
      <x:c r="M285" s="15" t="str">
        <x:v>L242-L244</x:v>
      </x:c>
      <x:c r="N285" s="15" t="str">
        <x:v>BUILD</x:v>
      </x:c>
      <x:c r="O285" s="15" t="str">
        <x:v>Not Run</x:v>
      </x:c>
      <x:c r="P285" s="15" t="str"/>
    </x:row>
    <x:row r="286">
      <x:c r="A286" s="15" t="str">
        <x:v>REP-003</x:v>
      </x:c>
      <x:c r="B286" s="15" t="str">
        <x:v>Trust &amp; Safety</x:v>
      </x:c>
      <x:c r="C286" s="15" t="str">
        <x:v>Reports</x:v>
      </x:c>
      <x:c r="D286" s="15" t="str">
        <x:v>User can report review</x:v>
      </x:c>
      <x:c r="E286" s="15" t="str">
        <x:v>Published review.</x:v>
      </x:c>
      <x:c r="F286" s="15" t="str">
        <x:v>Submit report.</x:v>
      </x:c>
      <x:c r="G286" s="15" t="str">
        <x:v>Report created with correct review target.</x:v>
      </x:c>
      <x:c r="H286" s="15" t="str">
        <x:v>User</x:v>
      </x:c>
      <x:c r="I286" s="15" t="str">
        <x:v>E2E</x:v>
      </x:c>
      <x:c r="J286" s="15" t="str">
        <x:v>Automated</x:v>
      </x:c>
      <x:c r="K286" s="15" t="str">
        <x:v>P0</x:v>
      </x:c>
      <x:c r="L286" s="15" t="str">
        <x:v>Blocking</x:v>
      </x:c>
      <x:c r="M286" s="15" t="str">
        <x:v>L242-L244</x:v>
      </x:c>
      <x:c r="N286" s="15" t="str">
        <x:v>BUILD</x:v>
      </x:c>
      <x:c r="O286" s="15" t="str">
        <x:v>Not Run</x:v>
      </x:c>
      <x:c r="P286" s="15" t="str"/>
    </x:row>
    <x:row r="287">
      <x:c r="A287" s="15" t="str">
        <x:v>REP-004</x:v>
      </x:c>
      <x:c r="B287" s="15" t="str">
        <x:v>Trust &amp; Safety</x:v>
      </x:c>
      <x:c r="C287" s="15" t="str">
        <x:v>Reports</x:v>
      </x:c>
      <x:c r="D287" s="15" t="str">
        <x:v>Fixed reason is required</x:v>
      </x:c>
      <x:c r="E287" s="15" t="str">
        <x:v>Report flow.</x:v>
      </x:c>
      <x:c r="F287" s="15" t="str">
        <x:v>Submit without reason.</x:v>
      </x:c>
      <x:c r="G287" s="15" t="str">
        <x:v>Rejected.</x:v>
      </x:c>
      <x:c r="H287" s="15" t="str">
        <x:v>User</x:v>
      </x:c>
      <x:c r="I287" s="15" t="str">
        <x:v>E2E</x:v>
      </x:c>
      <x:c r="J287" s="15" t="str">
        <x:v>Automated</x:v>
      </x:c>
      <x:c r="K287" s="15" t="str">
        <x:v>P1</x:v>
      </x:c>
      <x:c r="L287" s="15" t="str">
        <x:v>Blocking</x:v>
      </x:c>
      <x:c r="M287" s="15" t="str">
        <x:v>L242-L244</x:v>
      </x:c>
      <x:c r="N287" s="15" t="str">
        <x:v>BUILD</x:v>
      </x:c>
      <x:c r="O287" s="15" t="str">
        <x:v>Not Run</x:v>
      </x:c>
      <x:c r="P287" s="15" t="str"/>
    </x:row>
    <x:row r="288">
      <x:c r="A288" s="15" t="str">
        <x:v>REP-005</x:v>
      </x:c>
      <x:c r="B288" s="15" t="str">
        <x:v>Trust &amp; Safety</x:v>
      </x:c>
      <x:c r="C288" s="15" t="str">
        <x:v>Reports</x:v>
      </x:c>
      <x:c r="D288" s="15" t="str">
        <x:v>Optional detail may be blank</x:v>
      </x:c>
      <x:c r="E288" s="15" t="str">
        <x:v>Report flow.</x:v>
      </x:c>
      <x:c r="F288" s="15" t="str">
        <x:v>Submit fixed reason only.</x:v>
      </x:c>
      <x:c r="G288" s="15" t="str">
        <x:v>Accepted.</x:v>
      </x:c>
      <x:c r="H288" s="15" t="str">
        <x:v>User</x:v>
      </x:c>
      <x:c r="I288" s="15" t="str">
        <x:v>E2E</x:v>
      </x:c>
      <x:c r="J288" s="15" t="str">
        <x:v>Automated</x:v>
      </x:c>
      <x:c r="K288" s="15" t="str">
        <x:v>P1</x:v>
      </x:c>
      <x:c r="L288" s="15" t="str">
        <x:v>Blocking</x:v>
      </x:c>
      <x:c r="M288" s="15" t="str">
        <x:v>L242-L244</x:v>
      </x:c>
      <x:c r="N288" s="15" t="str">
        <x:v>BUILD</x:v>
      </x:c>
      <x:c r="O288" s="15" t="str">
        <x:v>Not Run</x:v>
      </x:c>
      <x:c r="P288" s="15" t="str"/>
    </x:row>
    <x:row r="289">
      <x:c r="A289" s="15" t="str">
        <x:v>REP-006</x:v>
      </x:c>
      <x:c r="B289" s="15" t="str">
        <x:v>Trust &amp; Safety</x:v>
      </x:c>
      <x:c r="C289" s="15" t="str">
        <x:v>Reports</x:v>
      </x:c>
      <x:c r="D289" s="15" t="str">
        <x:v>Report timestamp is recorded</x:v>
      </x:c>
      <x:c r="E289" s="15" t="str">
        <x:v>Submit report.</x:v>
      </x:c>
      <x:c r="F289" s="15" t="str">
        <x:v>Inspect record.</x:v>
      </x:c>
      <x:c r="G289" s="15" t="str">
        <x:v>Timestamp present.</x:v>
      </x:c>
      <x:c r="H289" s="15" t="str">
        <x:v>Admin</x:v>
      </x:c>
      <x:c r="I289" s="15" t="str">
        <x:v>DB</x:v>
      </x:c>
      <x:c r="J289" s="15" t="str">
        <x:v>Automated</x:v>
      </x:c>
      <x:c r="K289" s="15" t="str">
        <x:v>P2</x:v>
      </x:c>
      <x:c r="L289" s="15" t="str">
        <x:v>Non-blocking</x:v>
      </x:c>
      <x:c r="M289" s="15" t="str">
        <x:v>L242-L244</x:v>
      </x:c>
      <x:c r="N289" s="15" t="str">
        <x:v>BUILD</x:v>
      </x:c>
      <x:c r="O289" s="15" t="str">
        <x:v>Not Run</x:v>
      </x:c>
      <x:c r="P289" s="15" t="str"/>
    </x:row>
    <x:row r="290">
      <x:c r="A290" s="15" t="str">
        <x:v>REP-007</x:v>
      </x:c>
      <x:c r="B290" s="15" t="str">
        <x:v>Trust &amp; Safety</x:v>
      </x:c>
      <x:c r="C290" s="15" t="str">
        <x:v>Reports</x:v>
      </x:c>
      <x:c r="D290" s="15" t="str">
        <x:v>Reporter identity is associated where applicable</x:v>
      </x:c>
      <x:c r="E290" s="15" t="str">
        <x:v>Logged-in reporter.</x:v>
      </x:c>
      <x:c r="F290" s="15" t="str">
        <x:v>Submit.</x:v>
      </x:c>
      <x:c r="G290" s="15" t="str">
        <x:v>Reporter id is stored according to policy.</x:v>
      </x:c>
      <x:c r="H290" s="15" t="str">
        <x:v>User</x:v>
      </x:c>
      <x:c r="I290" s="15" t="str">
        <x:v>DB</x:v>
      </x:c>
      <x:c r="J290" s="15" t="str">
        <x:v>Automated</x:v>
      </x:c>
      <x:c r="K290" s="15" t="str">
        <x:v>P1</x:v>
      </x:c>
      <x:c r="L290" s="15" t="str">
        <x:v>Blocking</x:v>
      </x:c>
      <x:c r="M290" s="15" t="str">
        <x:v>L242-L244</x:v>
      </x:c>
      <x:c r="N290" s="15" t="str">
        <x:v>BUILD</x:v>
      </x:c>
      <x:c r="O290" s="15" t="str">
        <x:v>Not Run</x:v>
      </x:c>
      <x:c r="P290" s="15" t="str"/>
    </x:row>
    <x:row r="291">
      <x:c r="A291" s="15" t="str">
        <x:v>REP-008</x:v>
      </x:c>
      <x:c r="B291" s="15" t="str">
        <x:v>Trust &amp; Safety</x:v>
      </x:c>
      <x:c r="C291" s="15" t="str">
        <x:v>Reports</x:v>
      </x:c>
      <x:c r="D291" s="15" t="str">
        <x:v>Admin can resolve report</x:v>
      </x:c>
      <x:c r="E291" s="15" t="str">
        <x:v>Open report in admin.</x:v>
      </x:c>
      <x:c r="F291" s="15" t="str">
        <x:v>Resolve.</x:v>
      </x:c>
      <x:c r="G291" s="15" t="str">
        <x:v>Status changes and report leaves active queue appropriately.</x:v>
      </x:c>
      <x:c r="H291" s="15" t="str">
        <x:v>Admin</x:v>
      </x:c>
      <x:c r="I291" s="15" t="str">
        <x:v>E2E</x:v>
      </x:c>
      <x:c r="J291" s="15" t="str">
        <x:v>Automated</x:v>
      </x:c>
      <x:c r="K291" s="15" t="str">
        <x:v>P0</x:v>
      </x:c>
      <x:c r="L291" s="15" t="str">
        <x:v>Blocking</x:v>
      </x:c>
      <x:c r="M291" s="15" t="str">
        <x:v>L242-L244</x:v>
      </x:c>
      <x:c r="N291" s="15" t="str">
        <x:v>BUILD</x:v>
      </x:c>
      <x:c r="O291" s="15" t="str">
        <x:v>Not Run</x:v>
      </x:c>
      <x:c r="P291" s="15" t="str"/>
    </x:row>
    <x:row r="292">
      <x:c r="A292" s="15" t="str">
        <x:v>REP-009</x:v>
      </x:c>
      <x:c r="B292" s="15" t="str">
        <x:v>Trust &amp; Safety</x:v>
      </x:c>
      <x:c r="C292" s="15" t="str">
        <x:v>Reports</x:v>
      </x:c>
      <x:c r="D292" s="15" t="str">
        <x:v>Admin can dismiss report</x:v>
      </x:c>
      <x:c r="E292" s="15" t="str">
        <x:v>Open report.</x:v>
      </x:c>
      <x:c r="F292" s="15" t="str">
        <x:v>Dismiss.</x:v>
      </x:c>
      <x:c r="G292" s="15" t="str">
        <x:v>Status records dismissal without mutating target automatically unless separately acted upon.</x:v>
      </x:c>
      <x:c r="H292" s="15" t="str">
        <x:v>Admin</x:v>
      </x:c>
      <x:c r="I292" s="15" t="str">
        <x:v>E2E</x:v>
      </x:c>
      <x:c r="J292" s="15" t="str">
        <x:v>Automated</x:v>
      </x:c>
      <x:c r="K292" s="15" t="str">
        <x:v>P1</x:v>
      </x:c>
      <x:c r="L292" s="15" t="str">
        <x:v>Blocking</x:v>
      </x:c>
      <x:c r="M292" s="15" t="str">
        <x:v>L242-L244</x:v>
      </x:c>
      <x:c r="N292" s="15" t="str">
        <x:v>BUILD</x:v>
      </x:c>
      <x:c r="O292" s="15" t="str">
        <x:v>Not Run</x:v>
      </x:c>
      <x:c r="P292" s="15" t="str"/>
    </x:row>
    <x:row r="293">
      <x:c r="A293" s="15" t="str">
        <x:v>REP-010</x:v>
      </x:c>
      <x:c r="B293" s="15" t="str">
        <x:v>Trust &amp; Safety</x:v>
      </x:c>
      <x:c r="C293" s="15" t="str">
        <x:v>Reports</x:v>
      </x:c>
      <x:c r="D293" s="15" t="str">
        <x:v>Ordinary user cannot read moderation queue</x:v>
      </x:c>
      <x:c r="E293" s="15" t="str">
        <x:v>Logged-in nonadmin.</x:v>
      </x:c>
      <x:c r="F293" s="15" t="str">
        <x:v>Attempt reports admin data access.</x:v>
      </x:c>
      <x:c r="G293" s="15" t="str">
        <x:v>Denied.</x:v>
      </x:c>
      <x:c r="H293" s="15" t="str">
        <x:v>User</x:v>
      </x:c>
      <x:c r="I293" s="15" t="str">
        <x:v>DB/RLS</x:v>
      </x:c>
      <x:c r="J293" s="15" t="str">
        <x:v>Automated</x:v>
      </x:c>
      <x:c r="K293" s="15" t="str">
        <x:v>P0</x:v>
      </x:c>
      <x:c r="L293" s="15" t="str">
        <x:v>Blocking</x:v>
      </x:c>
      <x:c r="M293" s="15" t="str">
        <x:v>L242-L244</x:v>
      </x:c>
      <x:c r="N293" s="15" t="str">
        <x:v>BUILD</x:v>
      </x:c>
      <x:c r="O293" s="15" t="str">
        <x:v>Not Run</x:v>
      </x:c>
      <x:c r="P293" s="15" t="str"/>
    </x:row>
    <x:row r="294">
      <x:c r="A294" s="15" t="str">
        <x:v>ADMIN-001</x:v>
      </x:c>
      <x:c r="B294" s="15" t="str">
        <x:v>Admin</x:v>
      </x:c>
      <x:c r="C294" s="15" t="str">
        <x:v>Operational moderation hub</x:v>
      </x:c>
      <x:c r="D294" s="15" t="str">
        <x:v>Nonadmin cannot access admin hub</x:v>
      </x:c>
      <x:c r="E294" s="15" t="str">
        <x:v>Logged-in nonadmin.</x:v>
      </x:c>
      <x:c r="F294" s="15" t="str">
        <x:v>Open `/admin`.</x:v>
      </x:c>
      <x:c r="G294" s="15" t="str">
        <x:v>Access denied/redirected.</x:v>
      </x:c>
      <x:c r="H294" s="15" t="str">
        <x:v>Particular</x:v>
      </x:c>
      <x:c r="I294" s="15" t="str">
        <x:v>E2E</x:v>
      </x:c>
      <x:c r="J294" s="15" t="str">
        <x:v>Automated</x:v>
      </x:c>
      <x:c r="K294" s="15" t="str">
        <x:v>P0</x:v>
      </x:c>
      <x:c r="L294" s="15" t="str">
        <x:v>Blocking</x:v>
      </x:c>
      <x:c r="M294" s="15" t="str">
        <x:v>L246-L252</x:v>
      </x:c>
      <x:c r="N294" s="15" t="str">
        <x:v>MODIFY</x:v>
      </x:c>
      <x:c r="O294" s="15" t="str">
        <x:v>Not Run</x:v>
      </x:c>
      <x:c r="P294" s="15" t="str"/>
    </x:row>
    <x:row r="295">
      <x:c r="A295" s="15" t="str">
        <x:v>ADMIN-002</x:v>
      </x:c>
      <x:c r="B295" s="15" t="str">
        <x:v>Admin</x:v>
      </x:c>
      <x:c r="C295" s="15" t="str">
        <x:v>Operational moderation hub</x:v>
      </x:c>
      <x:c r="D295" s="15" t="str">
        <x:v>Admin can search/filter all listings</x:v>
      </x:c>
      <x:c r="E295" s="15" t="str">
        <x:v>Admin; varied listing states.</x:v>
      </x:c>
      <x:c r="F295" s="15" t="str">
        <x:v>Use admin listing search/filter.</x:v>
      </x:c>
      <x:c r="G295" s="15" t="str">
        <x:v>Results include correct records/states.</x:v>
      </x:c>
      <x:c r="H295" s="15" t="str">
        <x:v>Admin</x:v>
      </x:c>
      <x:c r="I295" s="15" t="str">
        <x:v>E2E</x:v>
      </x:c>
      <x:c r="J295" s="15" t="str">
        <x:v>Automated</x:v>
      </x:c>
      <x:c r="K295" s="15" t="str">
        <x:v>P0</x:v>
      </x:c>
      <x:c r="L295" s="15" t="str">
        <x:v>Blocking</x:v>
      </x:c>
      <x:c r="M295" s="15" t="str">
        <x:v>L246-L252</x:v>
      </x:c>
      <x:c r="N295" s="15" t="str">
        <x:v>MODIFY</x:v>
      </x:c>
      <x:c r="O295" s="15" t="str">
        <x:v>Not Run</x:v>
      </x:c>
      <x:c r="P295" s="15" t="str"/>
    </x:row>
    <x:row r="296">
      <x:c r="A296" s="15" t="str">
        <x:v>ADMIN-003</x:v>
      </x:c>
      <x:c r="B296" s="15" t="str">
        <x:v>Admin</x:v>
      </x:c>
      <x:c r="C296" s="15" t="str">
        <x:v>Operational moderation hub</x:v>
      </x:c>
      <x:c r="D296" s="15" t="str">
        <x:v>Admin can search/filter all stores</x:v>
      </x:c>
      <x:c r="E296" s="15" t="str">
        <x:v>Admin; varied stores.</x:v>
      </x:c>
      <x:c r="F296" s="15" t="str">
        <x:v>Use store search/filter.</x:v>
      </x:c>
      <x:c r="G296" s="15" t="str">
        <x:v>Correct stores/states shown.</x:v>
      </x:c>
      <x:c r="H296" s="15" t="str">
        <x:v>Admin</x:v>
      </x:c>
      <x:c r="I296" s="15" t="str">
        <x:v>E2E</x:v>
      </x:c>
      <x:c r="J296" s="15" t="str">
        <x:v>Automated</x:v>
      </x:c>
      <x:c r="K296" s="15" t="str">
        <x:v>P1</x:v>
      </x:c>
      <x:c r="L296" s="15" t="str">
        <x:v>Blocking</x:v>
      </x:c>
      <x:c r="M296" s="15" t="str">
        <x:v>L246-L252</x:v>
      </x:c>
      <x:c r="N296" s="15" t="str">
        <x:v>MODIFY</x:v>
      </x:c>
      <x:c r="O296" s="15" t="str">
        <x:v>Not Run</x:v>
      </x:c>
      <x:c r="P296" s="15" t="str"/>
    </x:row>
    <x:row r="297">
      <x:c r="A297" s="15" t="str">
        <x:v>ADMIN-004</x:v>
      </x:c>
      <x:c r="B297" s="15" t="str">
        <x:v>Admin</x:v>
      </x:c>
      <x:c r="C297" s="15" t="str">
        <x:v>Operational moderation hub</x:v>
      </x:c>
      <x:c r="D297" s="15" t="str">
        <x:v>Admin can inspect user accounts</x:v>
      </x:c>
      <x:c r="E297" s="15" t="str">
        <x:v>Admin.</x:v>
      </x:c>
      <x:c r="F297" s="15" t="str">
        <x:v>Open users area.</x:v>
      </x:c>
      <x:c r="G297" s="15" t="str">
        <x:v>Required account metadata visible without exposing secrets.</x:v>
      </x:c>
      <x:c r="H297" s="15" t="str">
        <x:v>Admin</x:v>
      </x:c>
      <x:c r="I297" s="15" t="str">
        <x:v>E2E</x:v>
      </x:c>
      <x:c r="J297" s="15" t="str">
        <x:v>Automated</x:v>
      </x:c>
      <x:c r="K297" s="15" t="str">
        <x:v>P1</x:v>
      </x:c>
      <x:c r="L297" s="15" t="str">
        <x:v>Blocking</x:v>
      </x:c>
      <x:c r="M297" s="15" t="str">
        <x:v>L246-L252</x:v>
      </x:c>
      <x:c r="N297" s="15" t="str">
        <x:v>MODIFY</x:v>
      </x:c>
      <x:c r="O297" s="15" t="str">
        <x:v>Not Run</x:v>
      </x:c>
      <x:c r="P297" s="15" t="str"/>
    </x:row>
    <x:row r="298">
      <x:c r="A298" s="15" t="str">
        <x:v>ADMIN-005</x:v>
      </x:c>
      <x:c r="B298" s="15" t="str">
        <x:v>Admin</x:v>
      </x:c>
      <x:c r="C298" s="15" t="str">
        <x:v>Operational moderation hub</x:v>
      </x:c>
      <x:c r="D298" s="15" t="str">
        <x:v>Admin can inspect pending revisions</x:v>
      </x:c>
      <x:c r="E298" s="15" t="str">
        <x:v>Pending revision exists.</x:v>
      </x:c>
      <x:c r="F298" s="15" t="str">
        <x:v>Open revision queue.</x:v>
      </x:c>
      <x:c r="G298" s="15" t="str">
        <x:v>Correct live vs proposed values visible.</x:v>
      </x:c>
      <x:c r="H298" s="15" t="str">
        <x:v>Admin</x:v>
      </x:c>
      <x:c r="I298" s="15" t="str">
        <x:v>E2E</x:v>
      </x:c>
      <x:c r="J298" s="15" t="str">
        <x:v>Automated</x:v>
      </x:c>
      <x:c r="K298" s="15" t="str">
        <x:v>P0</x:v>
      </x:c>
      <x:c r="L298" s="15" t="str">
        <x:v>Blocking</x:v>
      </x:c>
      <x:c r="M298" s="15" t="str">
        <x:v>L246-L252</x:v>
      </x:c>
      <x:c r="N298" s="15" t="str">
        <x:v>MODIFY</x:v>
      </x:c>
      <x:c r="O298" s="15" t="str">
        <x:v>Not Run</x:v>
      </x:c>
      <x:c r="P298" s="15" t="str"/>
    </x:row>
    <x:row r="299">
      <x:c r="A299" s="15" t="str">
        <x:v>ADMIN-006</x:v>
      </x:c>
      <x:c r="B299" s="15" t="str">
        <x:v>Admin</x:v>
      </x:c>
      <x:c r="C299" s="15" t="str">
        <x:v>Operational moderation hub</x:v>
      </x:c>
      <x:c r="D299" s="15" t="str">
        <x:v>Admin can inspect reports</x:v>
      </x:c>
      <x:c r="E299" s="15" t="str">
        <x:v>Open reports area.</x:v>
      </x:c>
      <x:c r="F299" s="15" t="str">
        <x:v>Filter/open report.</x:v>
      </x:c>
      <x:c r="G299" s="15" t="str">
        <x:v>Target and reason context available.</x:v>
      </x:c>
      <x:c r="H299" s="15" t="str">
        <x:v>Admin</x:v>
      </x:c>
      <x:c r="I299" s="15" t="str">
        <x:v>E2E</x:v>
      </x:c>
      <x:c r="J299" s="15" t="str">
        <x:v>Automated</x:v>
      </x:c>
      <x:c r="K299" s="15" t="str">
        <x:v>P0</x:v>
      </x:c>
      <x:c r="L299" s="15" t="str">
        <x:v>Blocking</x:v>
      </x:c>
      <x:c r="M299" s="15" t="str">
        <x:v>L246-L252</x:v>
      </x:c>
      <x:c r="N299" s="15" t="str">
        <x:v>MODIFY</x:v>
      </x:c>
      <x:c r="O299" s="15" t="str">
        <x:v>Not Run</x:v>
      </x:c>
      <x:c r="P299" s="15" t="str"/>
    </x:row>
    <x:row r="300">
      <x:c r="A300" s="15" t="str">
        <x:v>ADMIN-007</x:v>
      </x:c>
      <x:c r="B300" s="15" t="str">
        <x:v>Admin</x:v>
      </x:c>
      <x:c r="C300" s="15" t="str">
        <x:v>Operational moderation hub</x:v>
      </x:c>
      <x:c r="D300" s="15" t="str">
        <x:v>Admin can inspect reviews</x:v>
      </x:c>
      <x:c r="E300" s="15" t="str">
        <x:v>Reviews exist.</x:v>
      </x:c>
      <x:c r="F300" s="15" t="str">
        <x:v>Open reviews area.</x:v>
      </x:c>
      <x:c r="G300" s="15" t="str">
        <x:v>Review state/target/visibility available.</x:v>
      </x:c>
      <x:c r="H300" s="15" t="str">
        <x:v>Admin</x:v>
      </x:c>
      <x:c r="I300" s="15" t="str">
        <x:v>E2E</x:v>
      </x:c>
      <x:c r="J300" s="15" t="str">
        <x:v>Automated</x:v>
      </x:c>
      <x:c r="K300" s="15" t="str">
        <x:v>P1</x:v>
      </x:c>
      <x:c r="L300" s="15" t="str">
        <x:v>Blocking</x:v>
      </x:c>
      <x:c r="M300" s="15" t="str">
        <x:v>L246-L252</x:v>
      </x:c>
      <x:c r="N300" s="15" t="str">
        <x:v>MODIFY</x:v>
      </x:c>
      <x:c r="O300" s="15" t="str">
        <x:v>Not Run</x:v>
      </x:c>
      <x:c r="P300" s="15" t="str"/>
    </x:row>
    <x:row r="301">
      <x:c r="A301" s="15" t="str">
        <x:v>ADMIN-008</x:v>
      </x:c>
      <x:c r="B301" s="15" t="str">
        <x:v>Admin</x:v>
      </x:c>
      <x:c r="C301" s="15" t="str">
        <x:v>Operational moderation hub</x:v>
      </x:c>
      <x:c r="D301" s="15" t="str">
        <x:v>Admin can inspect verified transactions</x:v>
      </x:c>
      <x:c r="E301" s="15" t="str">
        <x:v>Verified/unverified sale relationships exist.</x:v>
      </x:c>
      <x:c r="F301" s="15" t="str">
        <x:v>Open transactions area.</x:v>
      </x:c>
      <x:c r="G301" s="15" t="str">
        <x:v>Correct transaction confirmation state visible.</x:v>
      </x:c>
      <x:c r="H301" s="15" t="str">
        <x:v>Admin</x:v>
      </x:c>
      <x:c r="I301" s="15" t="str">
        <x:v>E2E</x:v>
      </x:c>
      <x:c r="J301" s="15" t="str">
        <x:v>Automated</x:v>
      </x:c>
      <x:c r="K301" s="15" t="str">
        <x:v>P1</x:v>
      </x:c>
      <x:c r="L301" s="15" t="str">
        <x:v>Blocking</x:v>
      </x:c>
      <x:c r="M301" s="15" t="str">
        <x:v>L246-L252</x:v>
      </x:c>
      <x:c r="N301" s="15" t="str">
        <x:v>MODIFY</x:v>
      </x:c>
      <x:c r="O301" s="15" t="str">
        <x:v>Not Run</x:v>
      </x:c>
      <x:c r="P301" s="15" t="str"/>
    </x:row>
    <x:row r="302">
      <x:c r="A302" s="15" t="str">
        <x:v>ADMIN-009</x:v>
      </x:c>
      <x:c r="B302" s="15" t="str">
        <x:v>Admin</x:v>
      </x:c>
      <x:c r="C302" s="15" t="str">
        <x:v>Operational moderation hub</x:v>
      </x:c>
      <x:c r="D302" s="15" t="str">
        <x:v>Admin can manage store verification</x:v>
      </x:c>
      <x:c r="E302" s="15" t="str">
        <x:v>Active store.</x:v>
      </x:c>
      <x:c r="F302" s="15" t="str">
        <x:v>Verify/revoke.</x:v>
      </x:c>
      <x:c r="G302" s="15" t="str">
        <x:v>Privileges change according to spec.</x:v>
      </x:c>
      <x:c r="H302" s="15" t="str">
        <x:v>Admin</x:v>
      </x:c>
      <x:c r="I302" s="15" t="str">
        <x:v>E2E</x:v>
      </x:c>
      <x:c r="J302" s="15" t="str">
        <x:v>Automated</x:v>
      </x:c>
      <x:c r="K302" s="15" t="str">
        <x:v>P0</x:v>
      </x:c>
      <x:c r="L302" s="15" t="str">
        <x:v>Blocking</x:v>
      </x:c>
      <x:c r="M302" s="15" t="str">
        <x:v>L246-L252</x:v>
      </x:c>
      <x:c r="N302" s="15" t="str">
        <x:v>MODIFY</x:v>
      </x:c>
      <x:c r="O302" s="15" t="str">
        <x:v>Not Run</x:v>
      </x:c>
      <x:c r="P302" s="15" t="str"/>
    </x:row>
    <x:row r="303">
      <x:c r="A303" s="15" t="str">
        <x:v>ADMIN-010</x:v>
      </x:c>
      <x:c r="B303" s="15" t="str">
        <x:v>Admin</x:v>
      </x:c>
      <x:c r="C303" s="15" t="str">
        <x:v>Operational moderation hub</x:v>
      </x:c>
      <x:c r="D303" s="15" t="str">
        <x:v>Listing rejection requires reason</x:v>
      </x:c>
      <x:c r="E303" s="15" t="str">
        <x:v>Pending listing.</x:v>
      </x:c>
      <x:c r="F303" s="15" t="str">
        <x:v>Attempt reject without reason.</x:v>
      </x:c>
      <x:c r="G303" s="15" t="str">
        <x:v>Action blocked.</x:v>
      </x:c>
      <x:c r="H303" s="15" t="str">
        <x:v>Admin</x:v>
      </x:c>
      <x:c r="I303" s="15" t="str">
        <x:v>E2E</x:v>
      </x:c>
      <x:c r="J303" s="15" t="str">
        <x:v>Automated</x:v>
      </x:c>
      <x:c r="K303" s="15" t="str">
        <x:v>P0</x:v>
      </x:c>
      <x:c r="L303" s="15" t="str">
        <x:v>Blocking</x:v>
      </x:c>
      <x:c r="M303" s="15" t="str">
        <x:v>L246-L252</x:v>
      </x:c>
      <x:c r="N303" s="15" t="str">
        <x:v>MODIFY</x:v>
      </x:c>
      <x:c r="O303" s="15" t="str">
        <x:v>Not Run</x:v>
      </x:c>
      <x:c r="P303" s="15" t="str"/>
    </x:row>
    <x:row r="304">
      <x:c r="A304" s="15" t="str">
        <x:v>ADMIN-011</x:v>
      </x:c>
      <x:c r="B304" s="15" t="str">
        <x:v>Admin</x:v>
      </x:c>
      <x:c r="C304" s="15" t="str">
        <x:v>Operational moderation hub</x:v>
      </x:c>
      <x:c r="D304" s="15" t="str">
        <x:v>Listing rejection reason is visible to owner</x:v>
      </x:c>
      <x:c r="E304" s="15" t="str">
        <x:v>Rejected listing with reason.</x:v>
      </x:c>
      <x:c r="F304" s="15" t="str">
        <x:v>Owner opens account.</x:v>
      </x:c>
      <x:c r="G304" s="15" t="str">
        <x:v>Reason shown.</x:v>
      </x:c>
      <x:c r="H304" s="15" t="str">
        <x:v>Particular</x:v>
      </x:c>
      <x:c r="I304" s="15" t="str">
        <x:v>E2E</x:v>
      </x:c>
      <x:c r="J304" s="15" t="str">
        <x:v>Automated</x:v>
      </x:c>
      <x:c r="K304" s="15" t="str">
        <x:v>P0</x:v>
      </x:c>
      <x:c r="L304" s="15" t="str">
        <x:v>Blocking</x:v>
      </x:c>
      <x:c r="M304" s="15" t="str">
        <x:v>L246-L252</x:v>
      </x:c>
      <x:c r="N304" s="15" t="str">
        <x:v>MODIFY</x:v>
      </x:c>
      <x:c r="O304" s="15" t="str">
        <x:v>Not Run</x:v>
      </x:c>
      <x:c r="P304" s="15" t="str"/>
    </x:row>
    <x:row r="305">
      <x:c r="A305" s="15" t="str">
        <x:v>ADMIN-012</x:v>
      </x:c>
      <x:c r="B305" s="15" t="str">
        <x:v>Admin</x:v>
      </x:c>
      <x:c r="C305" s="15" t="str">
        <x:v>Operational moderation hub</x:v>
      </x:c>
      <x:c r="D305" s="15" t="str">
        <x:v>Administrative hide requires reason</x:v>
      </x:c>
      <x:c r="E305" s="15" t="str">
        <x:v>Approved listing.</x:v>
      </x:c>
      <x:c r="F305" s="15" t="str">
        <x:v>Attempt hide without reason.</x:v>
      </x:c>
      <x:c r="G305" s="15" t="str">
        <x:v>Action blocked.</x:v>
      </x:c>
      <x:c r="H305" s="15" t="str">
        <x:v>Admin</x:v>
      </x:c>
      <x:c r="I305" s="15" t="str">
        <x:v>E2E</x:v>
      </x:c>
      <x:c r="J305" s="15" t="str">
        <x:v>Automated</x:v>
      </x:c>
      <x:c r="K305" s="15" t="str">
        <x:v>P0</x:v>
      </x:c>
      <x:c r="L305" s="15" t="str">
        <x:v>Blocking</x:v>
      </x:c>
      <x:c r="M305" s="15" t="str">
        <x:v>L246-L252</x:v>
      </x:c>
      <x:c r="N305" s="15" t="str">
        <x:v>MODIFY</x:v>
      </x:c>
      <x:c r="O305" s="15" t="str">
        <x:v>Not Run</x:v>
      </x:c>
      <x:c r="P305" s="15" t="str"/>
    </x:row>
    <x:row r="306">
      <x:c r="A306" s="15" t="str">
        <x:v>ADMIN-013</x:v>
      </x:c>
      <x:c r="B306" s="15" t="str">
        <x:v>Admin</x:v>
      </x:c>
      <x:c r="C306" s="15" t="str">
        <x:v>Operational moderation hub</x:v>
      </x:c>
      <x:c r="D306" s="15" t="str">
        <x:v>Store rejection requires reason and owner sees it</x:v>
      </x:c>
      <x:c r="E306" s="15" t="str">
        <x:v>Pending store.</x:v>
      </x:c>
      <x:c r="F306" s="15" t="str">
        <x:v>Reject with reason, open owner dashboard.</x:v>
      </x:c>
      <x:c r="G306" s="15" t="str">
        <x:v>Reason persists and is visible.</x:v>
      </x:c>
      <x:c r="H306" s="15" t="str">
        <x:v>Admin</x:v>
      </x:c>
      <x:c r="I306" s="15" t="str">
        <x:v>E2E</x:v>
      </x:c>
      <x:c r="J306" s="15" t="str">
        <x:v>Automated</x:v>
      </x:c>
      <x:c r="K306" s="15" t="str">
        <x:v>P0</x:v>
      </x:c>
      <x:c r="L306" s="15" t="str">
        <x:v>Blocking</x:v>
      </x:c>
      <x:c r="M306" s="15" t="str">
        <x:v>L246-L252</x:v>
      </x:c>
      <x:c r="N306" s="15" t="str">
        <x:v>MODIFY</x:v>
      </x:c>
      <x:c r="O306" s="15" t="str">
        <x:v>Not Run</x:v>
      </x:c>
      <x:c r="P306" s="15" t="str"/>
    </x:row>
    <x:row r="307">
      <x:c r="A307" s="15" t="str">
        <x:v>ADMIN-014</x:v>
      </x:c>
      <x:c r="B307" s="15" t="str">
        <x:v>Admin</x:v>
      </x:c>
      <x:c r="C307" s="15" t="str">
        <x:v>Operational moderation hub</x:v>
      </x:c>
      <x:c r="D307" s="15" t="str">
        <x:v>Admin can manually link legacy listing ownership</x:v>
      </x:c>
      <x:c r="E307" s="15" t="str">
        <x:v>Legacy unowned listing + selected account.</x:v>
      </x:c>
      <x:c r="F307" s="15" t="str">
        <x:v>Assign ownership.</x:v>
      </x:c>
      <x:c r="G307" s="15" t="str">
        <x:v>owner_user_id links only to chosen account; audit/history preserved.</x:v>
      </x:c>
      <x:c r="H307" s="15" t="str">
        <x:v>Admin</x:v>
      </x:c>
      <x:c r="I307" s="15" t="str">
        <x:v>E2E</x:v>
      </x:c>
      <x:c r="J307" s="15" t="str">
        <x:v>Automated</x:v>
      </x:c>
      <x:c r="K307" s="15" t="str">
        <x:v>P0</x:v>
      </x:c>
      <x:c r="L307" s="15" t="str">
        <x:v>Blocking</x:v>
      </x:c>
      <x:c r="M307" s="15" t="str">
        <x:v>L246-L252</x:v>
      </x:c>
      <x:c r="N307" s="15" t="str">
        <x:v>MODIFY</x:v>
      </x:c>
      <x:c r="O307" s="15" t="str">
        <x:v>Not Run</x:v>
      </x:c>
      <x:c r="P307" s="15" t="str"/>
    </x:row>
    <x:row r="308">
      <x:c r="A308" s="15" t="str">
        <x:v>ADMIN-015</x:v>
      </x:c>
      <x:c r="B308" s="15" t="str">
        <x:v>Admin</x:v>
      </x:c>
      <x:c r="C308" s="15" t="str">
        <x:v>Operational moderation hub</x:v>
      </x:c>
      <x:c r="D308" s="15" t="str">
        <x:v>Legacy ownership is never auto-linked from phone/email alone</x:v>
      </x:c>
      <x:c r="E308" s="15" t="str">
        <x:v>Matching legacy contact exists.</x:v>
      </x:c>
      <x:c r="F308" s="15" t="str">
        <x:v>Create account/run background jobs.</x:v>
      </x:c>
      <x:c r="G308" s="15" t="str">
        <x:v>No automatic ownership assignment occurs.</x:v>
      </x:c>
      <x:c r="H308" s="15" t="str">
        <x:v>Admin</x:v>
      </x:c>
      <x:c r="I308" s="15" t="str">
        <x:v>DB</x:v>
      </x:c>
      <x:c r="J308" s="15" t="str">
        <x:v>Automated</x:v>
      </x:c>
      <x:c r="K308" s="15" t="str">
        <x:v>P0</x:v>
      </x:c>
      <x:c r="L308" s="15" t="str">
        <x:v>Blocking</x:v>
      </x:c>
      <x:c r="M308" s="15" t="str">
        <x:v>L246-L252</x:v>
      </x:c>
      <x:c r="N308" s="15" t="str">
        <x:v>MODIFY</x:v>
      </x:c>
      <x:c r="O308" s="15" t="str">
        <x:v>Not Run</x:v>
      </x:c>
      <x:c r="P308" s="15" t="str"/>
    </x:row>
    <x:row r="309">
      <x:c r="A309" s="15" t="str">
        <x:v>ADMIN-016</x:v>
      </x:c>
      <x:c r="B309" s="15" t="str">
        <x:v>Admin</x:v>
      </x:c>
      <x:c r="C309" s="15" t="str">
        <x:v>Operational moderation hub</x:v>
      </x:c>
      <x:c r="D309" s="15" t="str">
        <x:v>Admin cannot expose auth secrets in UI/logs</x:v>
      </x:c>
      <x:c r="E309" s="15" t="str">
        <x:v>Admin hub/users.</x:v>
      </x:c>
      <x:c r="F309" s="15" t="str">
        <x:v>Inspect network/UI/log output.</x:v>
      </x:c>
      <x:c r="G309" s="15" t="str">
        <x:v>Passwords/tokens/service-role secrets never displayed.</x:v>
      </x:c>
      <x:c r="H309" s="15" t="str">
        <x:v>Admin</x:v>
      </x:c>
      <x:c r="I309" s="15" t="str">
        <x:v>Security</x:v>
      </x:c>
      <x:c r="J309" s="15" t="str">
        <x:v>Both</x:v>
      </x:c>
      <x:c r="K309" s="15" t="str">
        <x:v>P0</x:v>
      </x:c>
      <x:c r="L309" s="15" t="str">
        <x:v>Blocking</x:v>
      </x:c>
      <x:c r="M309" s="15" t="str">
        <x:v>L246-L252</x:v>
      </x:c>
      <x:c r="N309" s="15" t="str">
        <x:v>MODIFY</x:v>
      </x:c>
      <x:c r="O309" s="15" t="str">
        <x:v>Not Run</x:v>
      </x:c>
      <x:c r="P309" s="15" t="str"/>
    </x:row>
    <x:row r="310">
      <x:c r="A310" s="15" t="str">
        <x:v>MAIL-001</x:v>
      </x:c>
      <x:c r="B310" s="15" t="str">
        <x:v>Notifications</x:v>
      </x:c>
      <x:c r="C310" s="15" t="str">
        <x:v>Application email</x:v>
      </x:c>
      <x:c r="D310" s="15" t="str">
        <x:v>Listing approval sends/queues marketplace email</x:v>
      </x:c>
      <x:c r="E310" s="15" t="str">
        <x:v>Owner listing approved.</x:v>
      </x:c>
      <x:c r="F310" s="15" t="str">
        <x:v>Approve.</x:v>
      </x:c>
      <x:c r="G310" s="15" t="str">
        <x:v>Owner receives/queues approval notification once.</x:v>
      </x:c>
      <x:c r="H310" s="15" t="str">
        <x:v>Particular</x:v>
      </x:c>
      <x:c r="I310" s="15" t="str">
        <x:v>Integration</x:v>
      </x:c>
      <x:c r="J310" s="15" t="str">
        <x:v>Both</x:v>
      </x:c>
      <x:c r="K310" s="15" t="str">
        <x:v>P0</x:v>
      </x:c>
      <x:c r="L310" s="15" t="str">
        <x:v>Blocking</x:v>
      </x:c>
      <x:c r="M310" s="15" t="str">
        <x:v>L254-L258</x:v>
      </x:c>
      <x:c r="N310" s="15" t="str">
        <x:v>BUILD</x:v>
      </x:c>
      <x:c r="O310" s="15" t="str">
        <x:v>Not Run</x:v>
      </x:c>
      <x:c r="P310" s="15" t="str"/>
    </x:row>
    <x:row r="311">
      <x:c r="A311" s="15" t="str">
        <x:v>MAIL-002</x:v>
      </x:c>
      <x:c r="B311" s="15" t="str">
        <x:v>Notifications</x:v>
      </x:c>
      <x:c r="C311" s="15" t="str">
        <x:v>Application email</x:v>
      </x:c>
      <x:c r="D311" s="15" t="str">
        <x:v>Listing rejection sends/queues email with useful status context</x:v>
      </x:c>
      <x:c r="E311" s="15" t="str">
        <x:v>Owner listing rejected.</x:v>
      </x:c>
      <x:c r="F311" s="15" t="str">
        <x:v>Reject with reason.</x:v>
      </x:c>
      <x:c r="G311" s="15" t="str">
        <x:v>Owner receives/queues rejection notification.</x:v>
      </x:c>
      <x:c r="H311" s="15" t="str">
        <x:v>Particular</x:v>
      </x:c>
      <x:c r="I311" s="15" t="str">
        <x:v>Integration</x:v>
      </x:c>
      <x:c r="J311" s="15" t="str">
        <x:v>Both</x:v>
      </x:c>
      <x:c r="K311" s="15" t="str">
        <x:v>P0</x:v>
      </x:c>
      <x:c r="L311" s="15" t="str">
        <x:v>Blocking</x:v>
      </x:c>
      <x:c r="M311" s="15" t="str">
        <x:v>L254-L258</x:v>
      </x:c>
      <x:c r="N311" s="15" t="str">
        <x:v>BUILD</x:v>
      </x:c>
      <x:c r="O311" s="15" t="str">
        <x:v>Not Run</x:v>
      </x:c>
      <x:c r="P311" s="15" t="str"/>
    </x:row>
    <x:row r="312">
      <x:c r="A312" s="15" t="str">
        <x:v>MAIL-003</x:v>
      </x:c>
      <x:c r="B312" s="15" t="str">
        <x:v>Notifications</x:v>
      </x:c>
      <x:c r="C312" s="15" t="str">
        <x:v>Application email</x:v>
      </x:c>
      <x:c r="D312" s="15" t="str">
        <x:v>Store approval sends/queues status email</x:v>
      </x:c>
      <x:c r="E312" s="15" t="str">
        <x:v>Pending store approved.</x:v>
      </x:c>
      <x:c r="F312" s="15" t="str">
        <x:v>Approve.</x:v>
      </x:c>
      <x:c r="G312" s="15" t="str">
        <x:v>Store owner notified.</x:v>
      </x:c>
      <x:c r="H312" s="15" t="str">
        <x:v>Store Owner</x:v>
      </x:c>
      <x:c r="I312" s="15" t="str">
        <x:v>Integration</x:v>
      </x:c>
      <x:c r="J312" s="15" t="str">
        <x:v>Both</x:v>
      </x:c>
      <x:c r="K312" s="15" t="str">
        <x:v>P1</x:v>
      </x:c>
      <x:c r="L312" s="15" t="str">
        <x:v>Blocking</x:v>
      </x:c>
      <x:c r="M312" s="15" t="str">
        <x:v>L254-L258</x:v>
      </x:c>
      <x:c r="N312" s="15" t="str">
        <x:v>BUILD</x:v>
      </x:c>
      <x:c r="O312" s="15" t="str">
        <x:v>Not Run</x:v>
      </x:c>
      <x:c r="P312" s="15" t="str"/>
    </x:row>
    <x:row r="313">
      <x:c r="A313" s="15" t="str">
        <x:v>MAIL-004</x:v>
      </x:c>
      <x:c r="B313" s="15" t="str">
        <x:v>Notifications</x:v>
      </x:c>
      <x:c r="C313" s="15" t="str">
        <x:v>Application email</x:v>
      </x:c>
      <x:c r="D313" s="15" t="str">
        <x:v>Store rejection sends/queues status email</x:v>
      </x:c>
      <x:c r="E313" s="15" t="str">
        <x:v>Pending store rejected.</x:v>
      </x:c>
      <x:c r="F313" s="15" t="str">
        <x:v>Reject.</x:v>
      </x:c>
      <x:c r="G313" s="15" t="str">
        <x:v>Store owner notified.</x:v>
      </x:c>
      <x:c r="H313" s="15" t="str">
        <x:v>Store Owner</x:v>
      </x:c>
      <x:c r="I313" s="15" t="str">
        <x:v>Integration</x:v>
      </x:c>
      <x:c r="J313" s="15" t="str">
        <x:v>Both</x:v>
      </x:c>
      <x:c r="K313" s="15" t="str">
        <x:v>P1</x:v>
      </x:c>
      <x:c r="L313" s="15" t="str">
        <x:v>Blocking</x:v>
      </x:c>
      <x:c r="M313" s="15" t="str">
        <x:v>L254-L258</x:v>
      </x:c>
      <x:c r="N313" s="15" t="str">
        <x:v>BUILD</x:v>
      </x:c>
      <x:c r="O313" s="15" t="str">
        <x:v>Not Run</x:v>
      </x:c>
      <x:c r="P313" s="15" t="str"/>
    </x:row>
    <x:row r="314">
      <x:c r="A314" s="15" t="str">
        <x:v>MAIL-005</x:v>
      </x:c>
      <x:c r="B314" s="15" t="str">
        <x:v>Notifications</x:v>
      </x:c>
      <x:c r="C314" s="15" t="str">
        <x:v>Application email</x:v>
      </x:c>
      <x:c r="D314" s="15" t="str">
        <x:v>Verification change notification is sent where useful</x:v>
      </x:c>
      <x:c r="E314" s="15" t="str">
        <x:v>Store verification granted/revoked.</x:v>
      </x:c>
      <x:c r="F314" s="15" t="str">
        <x:v>Change status.</x:v>
      </x:c>
      <x:c r="G314" s="15" t="str">
        <x:v>Owner receives appropriate lifecycle notice without duplicate spam.</x:v>
      </x:c>
      <x:c r="H314" s="15" t="str">
        <x:v>Store Owner</x:v>
      </x:c>
      <x:c r="I314" s="15" t="str">
        <x:v>Integration</x:v>
      </x:c>
      <x:c r="J314" s="15" t="str">
        <x:v>Both</x:v>
      </x:c>
      <x:c r="K314" s="15" t="str">
        <x:v>P1</x:v>
      </x:c>
      <x:c r="L314" s="15" t="str">
        <x:v>Blocking</x:v>
      </x:c>
      <x:c r="M314" s="15" t="str">
        <x:v>L254-L258</x:v>
      </x:c>
      <x:c r="N314" s="15" t="str">
        <x:v>BUILD</x:v>
      </x:c>
      <x:c r="O314" s="15" t="str">
        <x:v>Not Run</x:v>
      </x:c>
      <x:c r="P314" s="15" t="str"/>
    </x:row>
    <x:row r="315">
      <x:c r="A315" s="15" t="str">
        <x:v>MAIL-006</x:v>
      </x:c>
      <x:c r="B315" s="15" t="str">
        <x:v>Notifications</x:v>
      </x:c>
      <x:c r="C315" s="15" t="str">
        <x:v>Application email</x:v>
      </x:c>
      <x:c r="D315" s="15" t="str">
        <x:v>Buyer transaction-confirmation email targets selected buyer only</x:v>
      </x:c>
      <x:c r="E315" s="15" t="str">
        <x:v>Seller selects buyer.</x:v>
      </x:c>
      <x:c r="F315" s="15" t="str">
        <x:v>Trigger confirmation.</x:v>
      </x:c>
      <x:c r="G315" s="15" t="str">
        <x:v>Only selected eligible buyer gets request.</x:v>
      </x:c>
      <x:c r="H315" s="15" t="str">
        <x:v>Buyer</x:v>
      </x:c>
      <x:c r="I315" s="15" t="str">
        <x:v>Integration</x:v>
      </x:c>
      <x:c r="J315" s="15" t="str">
        <x:v>Both</x:v>
      </x:c>
      <x:c r="K315" s="15" t="str">
        <x:v>P0</x:v>
      </x:c>
      <x:c r="L315" s="15" t="str">
        <x:v>Blocking</x:v>
      </x:c>
      <x:c r="M315" s="15" t="str">
        <x:v>L254-L258</x:v>
      </x:c>
      <x:c r="N315" s="15" t="str">
        <x:v>BUILD</x:v>
      </x:c>
      <x:c r="O315" s="15" t="str">
        <x:v>Not Run</x:v>
      </x:c>
      <x:c r="P315" s="15" t="str"/>
    </x:row>
    <x:row r="316">
      <x:c r="A316" s="15" t="str">
        <x:v>MAIL-007</x:v>
      </x:c>
      <x:c r="B316" s="15" t="str">
        <x:v>Notifications</x:v>
      </x:c>
      <x:c r="C316" s="15" t="str">
        <x:v>Application email</x:v>
      </x:c>
      <x:c r="D316" s="15" t="str">
        <x:v>Review workflow notification respects double-blind rules</x:v>
      </x:c>
      <x:c r="E316" s="15" t="str">
        <x:v>Verified transaction/review milestones.</x:v>
      </x:c>
      <x:c r="F316" s="15" t="str">
        <x:v>Trigger notifications.</x:v>
      </x:c>
      <x:c r="G316" s="15" t="str">
        <x:v>Emails do not reveal hidden counterparty rating/comment.</x:v>
      </x:c>
      <x:c r="H316" s="15" t="str">
        <x:v>All</x:v>
      </x:c>
      <x:c r="I316" s="15" t="str">
        <x:v>Integration</x:v>
      </x:c>
      <x:c r="J316" s="15" t="str">
        <x:v>Both</x:v>
      </x:c>
      <x:c r="K316" s="15" t="str">
        <x:v>P0</x:v>
      </x:c>
      <x:c r="L316" s="15" t="str">
        <x:v>Blocking</x:v>
      </x:c>
      <x:c r="M316" s="15" t="str">
        <x:v>L254-L258</x:v>
      </x:c>
      <x:c r="N316" s="15" t="str">
        <x:v>BUILD</x:v>
      </x:c>
      <x:c r="O316" s="15" t="str">
        <x:v>Not Run</x:v>
      </x:c>
      <x:c r="P316" s="15" t="str"/>
    </x:row>
    <x:row r="317">
      <x:c r="A317" s="15" t="str">
        <x:v>MAIL-008</x:v>
      </x:c>
      <x:c r="B317" s="15" t="str">
        <x:v>Notifications</x:v>
      </x:c>
      <x:c r="C317" s="15" t="str">
        <x:v>Application email</x:v>
      </x:c>
      <x:c r="D317" s="15" t="str">
        <x:v>Search immediate email is deduplicated</x:v>
      </x:c>
      <x:c r="E317" s="15" t="str">
        <x:v>Immediate alert event.</x:v>
      </x:c>
      <x:c r="F317" s="15" t="str">
        <x:v>Retry job/provider callback.</x:v>
      </x:c>
      <x:c r="G317" s="15" t="str">
        <x:v>At most one logical notification per user-alert-listing.</x:v>
      </x:c>
      <x:c r="H317" s="15" t="str">
        <x:v>Particular</x:v>
      </x:c>
      <x:c r="I317" s="15" t="str">
        <x:v>Integration</x:v>
      </x:c>
      <x:c r="J317" s="15" t="str">
        <x:v>Automated</x:v>
      </x:c>
      <x:c r="K317" s="15" t="str">
        <x:v>P0</x:v>
      </x:c>
      <x:c r="L317" s="15" t="str">
        <x:v>Blocking</x:v>
      </x:c>
      <x:c r="M317" s="15" t="str">
        <x:v>L254-L258</x:v>
      </x:c>
      <x:c r="N317" s="15" t="str">
        <x:v>BUILD</x:v>
      </x:c>
      <x:c r="O317" s="15" t="str">
        <x:v>Not Run</x:v>
      </x:c>
      <x:c r="P317" s="15" t="str"/>
    </x:row>
    <x:row r="318">
      <x:c r="A318" s="15" t="str">
        <x:v>MAIL-009</x:v>
      </x:c>
      <x:c r="B318" s="15" t="str">
        <x:v>Notifications</x:v>
      </x:c>
      <x:c r="C318" s="15" t="str">
        <x:v>Application email</x:v>
      </x:c>
      <x:c r="D318" s="15" t="str">
        <x:v>Daily digest deduplicates items</x:v>
      </x:c>
      <x:c r="E318" s="15" t="str">
        <x:v>Daily matches include repeats.</x:v>
      </x:c>
      <x:c r="F318" s="15" t="str">
        <x:v>Run digest.</x:v>
      </x:c>
      <x:c r="G318" s="15" t="str">
        <x:v>Each qualifying listing appears once.</x:v>
      </x:c>
      <x:c r="H318" s="15" t="str">
        <x:v>Particular</x:v>
      </x:c>
      <x:c r="I318" s="15" t="str">
        <x:v>Integration</x:v>
      </x:c>
      <x:c r="J318" s="15" t="str">
        <x:v>Automated</x:v>
      </x:c>
      <x:c r="K318" s="15" t="str">
        <x:v>P0</x:v>
      </x:c>
      <x:c r="L318" s="15" t="str">
        <x:v>Blocking</x:v>
      </x:c>
      <x:c r="M318" s="15" t="str">
        <x:v>L254-L258</x:v>
      </x:c>
      <x:c r="N318" s="15" t="str">
        <x:v>BUILD</x:v>
      </x:c>
      <x:c r="O318" s="15" t="str">
        <x:v>Not Run</x:v>
      </x:c>
      <x:c r="P318" s="15" t="str"/>
    </x:row>
    <x:row r="319">
      <x:c r="A319" s="15" t="str">
        <x:v>MAIL-010</x:v>
      </x:c>
      <x:c r="B319" s="15" t="str">
        <x:v>Notifications</x:v>
      </x:c>
      <x:c r="C319" s="15" t="str">
        <x:v>Application email</x:v>
      </x:c>
      <x:c r="D319" s="15" t="str">
        <x:v>Price-drop email deduplicates unchanged price</x:v>
      </x:c>
      <x:c r="E319" s="15" t="str">
        <x:v>Already alerted price.</x:v>
      </x:c>
      <x:c r="F319" s="15" t="str">
        <x:v>Re-run job.</x:v>
      </x:c>
      <x:c r="G319" s="15" t="str">
        <x:v>No repeat alert.</x:v>
      </x:c>
      <x:c r="H319" s="15" t="str">
        <x:v>Particular</x:v>
      </x:c>
      <x:c r="I319" s="15" t="str">
        <x:v>Integration</x:v>
      </x:c>
      <x:c r="J319" s="15" t="str">
        <x:v>Automated</x:v>
      </x:c>
      <x:c r="K319" s="15" t="str">
        <x:v>P0</x:v>
      </x:c>
      <x:c r="L319" s="15" t="str">
        <x:v>Blocking</x:v>
      </x:c>
      <x:c r="M319" s="15" t="str">
        <x:v>L254-L258</x:v>
      </x:c>
      <x:c r="N319" s="15" t="str">
        <x:v>BUILD</x:v>
      </x:c>
      <x:c r="O319" s="15" t="str">
        <x:v>Not Run</x:v>
      </x:c>
      <x:c r="P319" s="15" t="str"/>
    </x:row>
    <x:row r="320">
      <x:c r="A320" s="15" t="str">
        <x:v>MAIL-011</x:v>
      </x:c>
      <x:c r="B320" s="15" t="str">
        <x:v>Notifications</x:v>
      </x:c>
      <x:c r="C320" s="15" t="str">
        <x:v>Application email</x:v>
      </x:c>
      <x:c r="D320" s="15" t="str">
        <x:v>Application product logic is provider-abstracted</x:v>
      </x:c>
      <x:c r="E320" s="15" t="str">
        <x:v>Email implementation exists.</x:v>
      </x:c>
      <x:c r="F320" s="15" t="str">
        <x:v>Inspect integration boundary/tests.</x:v>
      </x:c>
      <x:c r="G320" s="15" t="str">
        <x:v>Marketplace workflow does not hard-code provider semantics throughout domain logic.</x:v>
      </x:c>
      <x:c r="H320" s="15" t="str">
        <x:v>Developer</x:v>
      </x:c>
      <x:c r="I320" s="15" t="str">
        <x:v>Code Review</x:v>
      </x:c>
      <x:c r="J320" s="15" t="str">
        <x:v>Manual</x:v>
      </x:c>
      <x:c r="K320" s="15" t="str">
        <x:v>P1</x:v>
      </x:c>
      <x:c r="L320" s="15" t="str">
        <x:v>Blocking</x:v>
      </x:c>
      <x:c r="M320" s="15" t="str">
        <x:v>L254-L258</x:v>
      </x:c>
      <x:c r="N320" s="15" t="str">
        <x:v>BUILD</x:v>
      </x:c>
      <x:c r="O320" s="15" t="str">
        <x:v>Not Run</x:v>
      </x:c>
      <x:c r="P320" s="15" t="str"/>
    </x:row>
    <x:row r="321">
      <x:c r="A321" s="15" t="str">
        <x:v>MAIL-012</x:v>
      </x:c>
      <x:c r="B321" s="15" t="str">
        <x:v>Notifications</x:v>
      </x:c>
      <x:c r="C321" s="15" t="str">
        <x:v>Application email</x:v>
      </x:c>
      <x:c r="D321" s="15" t="str">
        <x:v>Email delivery failure does not corrupt core marketplace state</x:v>
      </x:c>
      <x:c r="E321" s="15" t="str">
        <x:v>Force provider failure.</x:v>
      </x:c>
      <x:c r="F321" s="15" t="str">
        <x:v>Approve listing/confirm transaction/etc.</x:v>
      </x:c>
      <x:c r="G321" s="15" t="str">
        <x:v>Core state transition remains consistent; retry/error is observable.</x:v>
      </x:c>
      <x:c r="H321" s="15" t="str">
        <x:v>Admin</x:v>
      </x:c>
      <x:c r="I321" s="15" t="str">
        <x:v>Integration</x:v>
      </x:c>
      <x:c r="J321" s="15" t="str">
        <x:v>Automated</x:v>
      </x:c>
      <x:c r="K321" s="15" t="str">
        <x:v>P0</x:v>
      </x:c>
      <x:c r="L321" s="15" t="str">
        <x:v>Blocking</x:v>
      </x:c>
      <x:c r="M321" s="15" t="str">
        <x:v>L254-L258</x:v>
      </x:c>
      <x:c r="N321" s="15" t="str">
        <x:v>BUILD</x:v>
      </x:c>
      <x:c r="O321" s="15" t="str">
        <x:v>Not Run</x:v>
      </x:c>
      <x:c r="P321" s="15" t="str"/>
    </x:row>
    <x:row r="322">
      <x:c r="A322" s="15" t="str">
        <x:v>LEGAL-001</x:v>
      </x:c>
      <x:c r="B322" s="15" t="str">
        <x:v>Legal &amp; Safety</x:v>
      </x:c>
      <x:c r="C322" s="15" t="str">
        <x:v>Required pages/copy</x:v>
      </x:c>
      <x:c r="D322" s="15" t="str">
        <x:v>Terms/marketplace rules page exists</x:v>
      </x:c>
      <x:c r="E322" s="15" t="str">
        <x:v>App deployed.</x:v>
      </x:c>
      <x:c r="F322" s="15" t="str">
        <x:v>Open Terms route.</x:v>
      </x:c>
      <x:c r="G322" s="15" t="str">
        <x:v>Dedicated content is accessible.</x:v>
      </x:c>
      <x:c r="H322" s="15" t="str">
        <x:v>Anonymous</x:v>
      </x:c>
      <x:c r="I322" s="15" t="str">
        <x:v>E2E</x:v>
      </x:c>
      <x:c r="J322" s="15" t="str">
        <x:v>Automated</x:v>
      </x:c>
      <x:c r="K322" s="15" t="str">
        <x:v>P0</x:v>
      </x:c>
      <x:c r="L322" s="15" t="str">
        <x:v>Blocking</x:v>
      </x:c>
      <x:c r="M322" s="15" t="str">
        <x:v>L260-L264</x:v>
      </x:c>
      <x:c r="N322" s="15" t="str">
        <x:v>BUILD</x:v>
      </x:c>
      <x:c r="O322" s="15" t="str">
        <x:v>Not Run</x:v>
      </x:c>
      <x:c r="P322" s="15" t="str"/>
    </x:row>
    <x:row r="323">
      <x:c r="A323" s="15" t="str">
        <x:v>LEGAL-002</x:v>
      </x:c>
      <x:c r="B323" s="15" t="str">
        <x:v>Legal &amp; Safety</x:v>
      </x:c>
      <x:c r="C323" s="15" t="str">
        <x:v>Required pages/copy</x:v>
      </x:c>
      <x:c r="D323" s="15" t="str">
        <x:v>Privacy Policy page exists</x:v>
      </x:c>
      <x:c r="E323" s="15" t="str">
        <x:v>App deployed.</x:v>
      </x:c>
      <x:c r="F323" s="15" t="str">
        <x:v>Open Privacy route.</x:v>
      </x:c>
      <x:c r="G323" s="15" t="str">
        <x:v>Dedicated content is accessible.</x:v>
      </x:c>
      <x:c r="H323" s="15" t="str">
        <x:v>Anonymous</x:v>
      </x:c>
      <x:c r="I323" s="15" t="str">
        <x:v>E2E</x:v>
      </x:c>
      <x:c r="J323" s="15" t="str">
        <x:v>Automated</x:v>
      </x:c>
      <x:c r="K323" s="15" t="str">
        <x:v>P0</x:v>
      </x:c>
      <x:c r="L323" s="15" t="str">
        <x:v>Blocking</x:v>
      </x:c>
      <x:c r="M323" s="15" t="str">
        <x:v>L260-L264</x:v>
      </x:c>
      <x:c r="N323" s="15" t="str">
        <x:v>BUILD</x:v>
      </x:c>
      <x:c r="O323" s="15" t="str">
        <x:v>Not Run</x:v>
      </x:c>
      <x:c r="P323" s="15" t="str"/>
    </x:row>
    <x:row r="324">
      <x:c r="A324" s="15" t="str">
        <x:v>LEGAL-003</x:v>
      </x:c>
      <x:c r="B324" s="15" t="str">
        <x:v>Legal &amp; Safety</x:v>
      </x:c>
      <x:c r="C324" s="15" t="str">
        <x:v>Required pages/copy</x:v>
      </x:c>
      <x:c r="D324" s="15" t="str">
        <x:v>Prohibited-item rules page exists</x:v>
      </x:c>
      <x:c r="E324" s="15" t="str">
        <x:v>App deployed.</x:v>
      </x:c>
      <x:c r="F324" s="15" t="str">
        <x:v>Open prohibited-items route.</x:v>
      </x:c>
      <x:c r="G324" s="15" t="str">
        <x:v>Dedicated content is accessible.</x:v>
      </x:c>
      <x:c r="H324" s="15" t="str">
        <x:v>Anonymous</x:v>
      </x:c>
      <x:c r="I324" s="15" t="str">
        <x:v>E2E</x:v>
      </x:c>
      <x:c r="J324" s="15" t="str">
        <x:v>Automated</x:v>
      </x:c>
      <x:c r="K324" s="15" t="str">
        <x:v>P1</x:v>
      </x:c>
      <x:c r="L324" s="15" t="str">
        <x:v>Blocking</x:v>
      </x:c>
      <x:c r="M324" s="15" t="str">
        <x:v>L260-L264</x:v>
      </x:c>
      <x:c r="N324" s="15" t="str">
        <x:v>BUILD</x:v>
      </x:c>
      <x:c r="O324" s="15" t="str">
        <x:v>Not Run</x:v>
      </x:c>
      <x:c r="P324" s="15" t="str"/>
    </x:row>
    <x:row r="325">
      <x:c r="A325" s="15" t="str">
        <x:v>LEGAL-004</x:v>
      </x:c>
      <x:c r="B325" s="15" t="str">
        <x:v>Legal &amp; Safety</x:v>
      </x:c>
      <x:c r="C325" s="15" t="str">
        <x:v>Required pages/copy</x:v>
      </x:c>
      <x:c r="D325" s="15" t="str">
        <x:v>Marketplace safety page exists</x:v>
      </x:c>
      <x:c r="E325" s="15" t="str">
        <x:v>App deployed.</x:v>
      </x:c>
      <x:c r="F325" s="15" t="str">
        <x:v>Open safety route.</x:v>
      </x:c>
      <x:c r="G325" s="15" t="str">
        <x:v>Dedicated safety guidance is accessible.</x:v>
      </x:c>
      <x:c r="H325" s="15" t="str">
        <x:v>Anonymous</x:v>
      </x:c>
      <x:c r="I325" s="15" t="str">
        <x:v>E2E</x:v>
      </x:c>
      <x:c r="J325" s="15" t="str">
        <x:v>Automated</x:v>
      </x:c>
      <x:c r="K325" s="15" t="str">
        <x:v>P1</x:v>
      </x:c>
      <x:c r="L325" s="15" t="str">
        <x:v>Blocking</x:v>
      </x:c>
      <x:c r="M325" s="15" t="str">
        <x:v>L260-L264</x:v>
      </x:c>
      <x:c r="N325" s="15" t="str">
        <x:v>BUILD</x:v>
      </x:c>
      <x:c r="O325" s="15" t="str">
        <x:v>Not Run</x:v>
      </x:c>
      <x:c r="P325" s="15" t="str"/>
    </x:row>
    <x:row r="326">
      <x:c r="A326" s="15" t="str">
        <x:v>LEGAL-005</x:v>
      </x:c>
      <x:c r="B326" s="15" t="str">
        <x:v>Legal &amp; Safety</x:v>
      </x:c>
      <x:c r="C326" s="15" t="str">
        <x:v>Required pages/copy</x:v>
      </x:c>
      <x:c r="D326" s="15" t="str">
        <x:v>Safety copy states Laria does not process payments/escrow/shipping</x:v>
      </x:c>
      <x:c r="E326" s="15" t="str">
        <x:v>Relevant safety/trust surfaces.</x:v>
      </x:c>
      <x:c r="F326" s="15" t="str">
        <x:v>Inspect copy.</x:v>
      </x:c>
      <x:c r="G326" s="15" t="str">
        <x:v>Limitation is explicit.</x:v>
      </x:c>
      <x:c r="H326" s="15" t="str">
        <x:v>Anonymous</x:v>
      </x:c>
      <x:c r="I326" s="15" t="str">
        <x:v>Manual</x:v>
      </x:c>
      <x:c r="J326" s="15" t="str">
        <x:v>Manual</x:v>
      </x:c>
      <x:c r="K326" s="15" t="str">
        <x:v>P0</x:v>
      </x:c>
      <x:c r="L326" s="15" t="str">
        <x:v>Blocking</x:v>
      </x:c>
      <x:c r="M326" s="15" t="str">
        <x:v>L260-L264</x:v>
      </x:c>
      <x:c r="N326" s="15" t="str">
        <x:v>BUILD</x:v>
      </x:c>
      <x:c r="O326" s="15" t="str">
        <x:v>Not Run</x:v>
      </x:c>
      <x:c r="P326" s="15" t="str"/>
    </x:row>
    <x:row r="327">
      <x:c r="A327" s="15" t="str">
        <x:v>LEGAL-006</x:v>
      </x:c>
      <x:c r="B327" s="15" t="str">
        <x:v>Legal &amp; Safety</x:v>
      </x:c>
      <x:c r="C327" s="15" t="str">
        <x:v>Required pages/copy</x:v>
      </x:c>
      <x:c r="D327" s="15" t="str">
        <x:v>Trust copy does not guarantee transaction outcome</x:v>
      </x:c>
      <x:c r="E327" s="15" t="str">
        <x:v>Relevant pages.</x:v>
      </x:c>
      <x:c r="F327" s="15" t="str">
        <x:v>Inspect copy.</x:v>
      </x:c>
      <x:c r="G327" s="15" t="str">
        <x:v>No wording implies Laria guarantees payment, delivery, condition or transaction.</x:v>
      </x:c>
      <x:c r="H327" s="15" t="str">
        <x:v>Anonymous</x:v>
      </x:c>
      <x:c r="I327" s="15" t="str">
        <x:v>Manual</x:v>
      </x:c>
      <x:c r="J327" s="15" t="str">
        <x:v>Manual</x:v>
      </x:c>
      <x:c r="K327" s="15" t="str">
        <x:v>P0</x:v>
      </x:c>
      <x:c r="L327" s="15" t="str">
        <x:v>Blocking</x:v>
      </x:c>
      <x:c r="M327" s="15" t="str">
        <x:v>L260-L264</x:v>
      </x:c>
      <x:c r="N327" s="15" t="str">
        <x:v>BUILD</x:v>
      </x:c>
      <x:c r="O327" s="15" t="str">
        <x:v>Not Run</x:v>
      </x:c>
      <x:c r="P327" s="15" t="str"/>
    </x:row>
    <x:row r="328">
      <x:c r="A328" s="15" t="str">
        <x:v>REL-001</x:v>
      </x:c>
      <x:c r="B328" s="15" t="str">
        <x:v>Reliability</x:v>
      </x:c>
      <x:c r="C328" s="15" t="str">
        <x:v>Preserve September 2026 baseline</x:v>
      </x:c>
      <x:c r="D328" s="15" t="str">
        <x:v>Catalog uses 24-item pages</x:v>
      </x:c>
      <x:c r="E328" s="15" t="str">
        <x:v>More than 24 approved listings.</x:v>
      </x:c>
      <x:c r="F328" s="15" t="str">
        <x:v>Browse pages.</x:v>
      </x:c>
      <x:c r="G328" s="15" t="str">
        <x:v>Exactly bounded page behavior with navigation.</x:v>
      </x:c>
      <x:c r="H328" s="15" t="str">
        <x:v>Anonymous</x:v>
      </x:c>
      <x:c r="I328" s="15" t="str">
        <x:v>E2E</x:v>
      </x:c>
      <x:c r="J328" s="15" t="str">
        <x:v>Automated</x:v>
      </x:c>
      <x:c r="K328" s="15" t="str">
        <x:v>P0</x:v>
      </x:c>
      <x:c r="L328" s="15" t="str">
        <x:v>Blocking</x:v>
      </x:c>
      <x:c r="M328" s="15" t="str">
        <x:v>L286-L302</x:v>
      </x:c>
      <x:c r="N328" s="15" t="str">
        <x:v>DONE</x:v>
      </x:c>
      <x:c r="O328" s="15" t="str">
        <x:v>Not Run</x:v>
      </x:c>
      <x:c r="P328" s="15" t="str"/>
    </x:row>
    <x:row r="329">
      <x:c r="A329" s="15" t="str">
        <x:v>REL-002</x:v>
      </x:c>
      <x:c r="B329" s="15" t="str">
        <x:v>Reliability</x:v>
      </x:c>
      <x:c r="C329" s="15" t="str">
        <x:v>Preserve September 2026 baseline</x:v>
      </x:c>
      <x:c r="D329" s="15" t="str">
        <x:v>Store inventory uses 24-item pages</x:v>
      </x:c>
      <x:c r="E329" s="15" t="str">
        <x:v>Store has &gt;24 approved listings.</x:v>
      </x:c>
      <x:c r="F329" s="15" t="str">
        <x:v>Open store pages.</x:v>
      </x:c>
      <x:c r="G329" s="15" t="str">
        <x:v>Bounded stable pagination works.</x:v>
      </x:c>
      <x:c r="H329" s="15" t="str">
        <x:v>Anonymous</x:v>
      </x:c>
      <x:c r="I329" s="15" t="str">
        <x:v>E2E</x:v>
      </x:c>
      <x:c r="J329" s="15" t="str">
        <x:v>Automated</x:v>
      </x:c>
      <x:c r="K329" s="15" t="str">
        <x:v>P1</x:v>
      </x:c>
      <x:c r="L329" s="15" t="str">
        <x:v>Blocking</x:v>
      </x:c>
      <x:c r="M329" s="15" t="str">
        <x:v>L286-L302</x:v>
      </x:c>
      <x:c r="N329" s="15" t="str">
        <x:v>DONE</x:v>
      </x:c>
      <x:c r="O329" s="15" t="str">
        <x:v>Not Run</x:v>
      </x:c>
      <x:c r="P329" s="15" t="str"/>
    </x:row>
    <x:row r="330">
      <x:c r="A330" s="15" t="str">
        <x:v>REL-003</x:v>
      </x:c>
      <x:c r="B330" s="15" t="str">
        <x:v>Reliability</x:v>
      </x:c>
      <x:c r="C330" s="15" t="str">
        <x:v>Preserve September 2026 baseline</x:v>
      </x:c>
      <x:c r="D330" s="15" t="str">
        <x:v>Pagination preserves filters</x:v>
      </x:c>
      <x:c r="E330" s="15" t="str">
        <x:v>Filtered catalog &gt;1 page.</x:v>
      </x:c>
      <x:c r="F330" s="15" t="str">
        <x:v>Navigate page 2/back.</x:v>
      </x:c>
      <x:c r="G330" s="15" t="str">
        <x:v>Filter/query state preserved.</x:v>
      </x:c>
      <x:c r="H330" s="15" t="str">
        <x:v>Anonymous</x:v>
      </x:c>
      <x:c r="I330" s="15" t="str">
        <x:v>E2E</x:v>
      </x:c>
      <x:c r="J330" s="15" t="str">
        <x:v>Automated</x:v>
      </x:c>
      <x:c r="K330" s="15" t="str">
        <x:v>P0</x:v>
      </x:c>
      <x:c r="L330" s="15" t="str">
        <x:v>Blocking</x:v>
      </x:c>
      <x:c r="M330" s="15" t="str">
        <x:v>L286-L302</x:v>
      </x:c>
      <x:c r="N330" s="15" t="str">
        <x:v>DONE</x:v>
      </x:c>
      <x:c r="O330" s="15" t="str">
        <x:v>Not Run</x:v>
      </x:c>
      <x:c r="P330" s="15" t="str"/>
    </x:row>
    <x:row r="331">
      <x:c r="A331" s="15" t="str">
        <x:v>REL-004</x:v>
      </x:c>
      <x:c r="B331" s="15" t="str">
        <x:v>Reliability</x:v>
      </x:c>
      <x:c r="C331" s="15" t="str">
        <x:v>Preserve September 2026 baseline</x:v>
      </x:c>
      <x:c r="D331" s="15" t="str">
        <x:v>Pagination ordering is deterministic</x:v>
      </x:c>
      <x:c r="E331" s="15" t="str">
        <x:v>Listings with tied primary sort fields.</x:v>
      </x:c>
      <x:c r="F331" s="15" t="str">
        <x:v>Reload/navigate repeatedly.</x:v>
      </x:c>
      <x:c r="G331" s="15" t="str">
        <x:v>Stable ID tie-breaker prevents duplicates/omissions.</x:v>
      </x:c>
      <x:c r="H331" s="15" t="str">
        <x:v>Anonymous</x:v>
      </x:c>
      <x:c r="I331" s="15" t="str">
        <x:v>Integration</x:v>
      </x:c>
      <x:c r="J331" s="15" t="str">
        <x:v>Automated</x:v>
      </x:c>
      <x:c r="K331" s="15" t="str">
        <x:v>P0</x:v>
      </x:c>
      <x:c r="L331" s="15" t="str">
        <x:v>Blocking</x:v>
      </x:c>
      <x:c r="M331" s="15" t="str">
        <x:v>L286-L302</x:v>
      </x:c>
      <x:c r="N331" s="15" t="str">
        <x:v>DONE</x:v>
      </x:c>
      <x:c r="O331" s="15" t="str">
        <x:v>Not Run</x:v>
      </x:c>
      <x:c r="P331" s="15" t="str"/>
    </x:row>
    <x:row r="332">
      <x:c r="A332" s="15" t="str">
        <x:v>REL-005</x:v>
      </x:c>
      <x:c r="B332" s="15" t="str">
        <x:v>Reliability</x:v>
      </x:c>
      <x:c r="C332" s="15" t="str">
        <x:v>Preserve September 2026 baseline</x:v>
      </x:c>
      <x:c r="D332" s="15" t="str">
        <x:v>Photo count supports &gt;1000 photos without truncation</x:v>
      </x:c>
      <x:c r="E332" s="15" t="str">
        <x:v>Large seeded photo set.</x:v>
      </x:c>
      <x:c r="F332" s="15" t="str">
        <x:v>Query count behavior.</x:v>
      </x:c>
      <x:c r="G332" s="15" t="str">
        <x:v>Database-computed counts remain correct beyond row cap.</x:v>
      </x:c>
      <x:c r="H332" s="15" t="str">
        <x:v>Developer</x:v>
      </x:c>
      <x:c r="I332" s="15" t="str">
        <x:v>DB</x:v>
      </x:c>
      <x:c r="J332" s="15" t="str">
        <x:v>Automated</x:v>
      </x:c>
      <x:c r="K332" s="15" t="str">
        <x:v>P1</x:v>
      </x:c>
      <x:c r="L332" s="15" t="str">
        <x:v>Blocking</x:v>
      </x:c>
      <x:c r="M332" s="15" t="str">
        <x:v>L286-L302</x:v>
      </x:c>
      <x:c r="N332" s="15" t="str">
        <x:v>DONE</x:v>
      </x:c>
      <x:c r="O332" s="15" t="str">
        <x:v>Not Run</x:v>
      </x:c>
      <x:c r="P332" s="15" t="str"/>
    </x:row>
    <x:row r="333">
      <x:c r="A333" s="15" t="str">
        <x:v>REL-006</x:v>
      </x:c>
      <x:c r="B333" s="15" t="str">
        <x:v>Reliability</x:v>
      </x:c>
      <x:c r="C333" s="15" t="str">
        <x:v>Preserve September 2026 baseline</x:v>
      </x:c>
      <x:c r="D333" s="15" t="str">
        <x:v>Recommendations do not block primary listing content</x:v>
      </x:c>
      <x:c r="E333" s="15" t="str">
        <x:v>Listing with recommendation queries.</x:v>
      </x:c>
      <x:c r="F333" s="15" t="str">
        <x:v>Simulate slow secondary queries.</x:v>
      </x:c>
      <x:c r="G333" s="15" t="str">
        <x:v>Primary product renders first; recommendations stream later.</x:v>
      </x:c>
      <x:c r="H333" s="15" t="str">
        <x:v>Anonymous</x:v>
      </x:c>
      <x:c r="I333" s="15" t="str">
        <x:v>Performance</x:v>
      </x:c>
      <x:c r="J333" s="15" t="str">
        <x:v>Automated</x:v>
      </x:c>
      <x:c r="K333" s="15" t="str">
        <x:v>P1</x:v>
      </x:c>
      <x:c r="L333" s="15" t="str">
        <x:v>Blocking</x:v>
      </x:c>
      <x:c r="M333" s="15" t="str">
        <x:v>L286-L302</x:v>
      </x:c>
      <x:c r="N333" s="15" t="str">
        <x:v>DONE</x:v>
      </x:c>
      <x:c r="O333" s="15" t="str">
        <x:v>Not Run</x:v>
      </x:c>
      <x:c r="P333" s="15" t="str"/>
    </x:row>
    <x:row r="334">
      <x:c r="A334" s="15" t="str">
        <x:v>REL-007</x:v>
      </x:c>
      <x:c r="B334" s="15" t="str">
        <x:v>Reliability</x:v>
      </x:c>
      <x:c r="C334" s="15" t="str">
        <x:v>Preserve September 2026 baseline</x:v>
      </x:c>
      <x:c r="D334" s="15" t="str">
        <x:v>Public browsing avoids unnecessary authenticated getUser network work</x:v>
      </x:c>
      <x:c r="E334" s="15" t="str">
        <x:v>Signed-in user browses public page.</x:v>
      </x:c>
      <x:c r="F334" s="15" t="str">
        <x:v>Inspect server behavior.</x:v>
      </x:c>
      <x:c r="G334" s="15" t="str">
        <x:v>Public route does not perform needless auth validation beyond intended middleware policy.</x:v>
      </x:c>
      <x:c r="H334" s="15" t="str">
        <x:v>Particular</x:v>
      </x:c>
      <x:c r="I334" s="15" t="str">
        <x:v>Performance</x:v>
      </x:c>
      <x:c r="J334" s="15" t="str">
        <x:v>Automated</x:v>
      </x:c>
      <x:c r="K334" s="15" t="str">
        <x:v>P1</x:v>
      </x:c>
      <x:c r="L334" s="15" t="str">
        <x:v>Blocking</x:v>
      </x:c>
      <x:c r="M334" s="15" t="str">
        <x:v>L286-L302</x:v>
      </x:c>
      <x:c r="N334" s="15" t="str">
        <x:v>DONE</x:v>
      </x:c>
      <x:c r="O334" s="15" t="str">
        <x:v>Not Run</x:v>
      </x:c>
      <x:c r="P334" s="15" t="str"/>
    </x:row>
    <x:row r="335">
      <x:c r="A335" s="15" t="str">
        <x:v>REL-008</x:v>
      </x:c>
      <x:c r="B335" s="15" t="str">
        <x:v>Reliability</x:v>
      </x:c>
      <x:c r="C335" s="15" t="str">
        <x:v>Preserve September 2026 baseline</x:v>
      </x:c>
      <x:c r="D335" s="15" t="str">
        <x:v>Approval sets first publication timestamp</x:v>
      </x:c>
      <x:c r="E335" s="15" t="str">
        <x:v>Pending listing.</x:v>
      </x:c>
      <x:c r="F335" s="15" t="str">
        <x:v>Approve.</x:v>
      </x:c>
      <x:c r="G335" s="15" t="str">
        <x:v>published_at is populated once.</x:v>
      </x:c>
      <x:c r="H335" s="15" t="str">
        <x:v>Admin</x:v>
      </x:c>
      <x:c r="I335" s="15" t="str">
        <x:v>DB</x:v>
      </x:c>
      <x:c r="J335" s="15" t="str">
        <x:v>Automated</x:v>
      </x:c>
      <x:c r="K335" s="15" t="str">
        <x:v>P0</x:v>
      </x:c>
      <x:c r="L335" s="15" t="str">
        <x:v>Blocking</x:v>
      </x:c>
      <x:c r="M335" s="15" t="str">
        <x:v>L286-L302</x:v>
      </x:c>
      <x:c r="N335" s="15" t="str">
        <x:v>DONE</x:v>
      </x:c>
      <x:c r="O335" s="15" t="str">
        <x:v>Not Run</x:v>
      </x:c>
      <x:c r="P335" s="15" t="str"/>
    </x:row>
    <x:row r="336">
      <x:c r="A336" s="15" t="str">
        <x:v>REL-009</x:v>
      </x:c>
      <x:c r="B336" s="15" t="str">
        <x:v>Reliability</x:v>
      </x:c>
      <x:c r="C336" s="15" t="str">
        <x:v>Preserve September 2026 baseline</x:v>
      </x:c>
      <x:c r="D336" s="15" t="str">
        <x:v>Reapproval preserves original publication timestamp</x:v>
      </x:c>
      <x:c r="E336" s="15" t="str">
        <x:v>Previously approved listing cycles state as allowed.</x:v>
      </x:c>
      <x:c r="F336" s="15" t="str">
        <x:v>Reapprove.</x:v>
      </x:c>
      <x:c r="G336" s="15" t="str">
        <x:v>Original first publication timestamp remains.</x:v>
      </x:c>
      <x:c r="H336" s="15" t="str">
        <x:v>Admin</x:v>
      </x:c>
      <x:c r="I336" s="15" t="str">
        <x:v>DB</x:v>
      </x:c>
      <x:c r="J336" s="15" t="str">
        <x:v>Automated</x:v>
      </x:c>
      <x:c r="K336" s="15" t="str">
        <x:v>P1</x:v>
      </x:c>
      <x:c r="L336" s="15" t="str">
        <x:v>Blocking</x:v>
      </x:c>
      <x:c r="M336" s="15" t="str">
        <x:v>L286-L302</x:v>
      </x:c>
      <x:c r="N336" s="15" t="str">
        <x:v>DONE</x:v>
      </x:c>
      <x:c r="O336" s="15" t="str">
        <x:v>Not Run</x:v>
      </x:c>
      <x:c r="P336" s="15" t="str"/>
    </x:row>
    <x:row r="337">
      <x:c r="A337" s="15" t="str">
        <x:v>REL-010</x:v>
      </x:c>
      <x:c r="B337" s="15" t="str">
        <x:v>Reliability</x:v>
      </x:c>
      <x:c r="C337" s="15" t="str">
        <x:v>Preserve September 2026 baseline</x:v>
      </x:c>
      <x:c r="D337" s="15" t="str">
        <x:v>Signup duplicate-email lookup is targeted and failure-safe</x:v>
      </x:c>
      <x:c r="E337" s="15" t="str">
        <x:v>Existing/unknown emails; force DB lookup failure.</x:v>
      </x:c>
      <x:c r="F337" s="15" t="str">
        <x:v>Call precheck.</x:v>
      </x:c>
      <x:c r="G337" s="15" t="str">
        <x:v>No directory scan; failure never returns false 'available'.</x:v>
      </x:c>
      <x:c r="H337" s="15" t="str">
        <x:v>Anonymous</x:v>
      </x:c>
      <x:c r="I337" s="15" t="str">
        <x:v>API</x:v>
      </x:c>
      <x:c r="J337" s="15" t="str">
        <x:v>Automated</x:v>
      </x:c>
      <x:c r="K337" s="15" t="str">
        <x:v>P0</x:v>
      </x:c>
      <x:c r="L337" s="15" t="str">
        <x:v>Blocking</x:v>
      </x:c>
      <x:c r="M337" s="15" t="str">
        <x:v>L286-L302</x:v>
      </x:c>
      <x:c r="N337" s="15" t="str">
        <x:v>DONE</x:v>
      </x:c>
      <x:c r="O337" s="15" t="str">
        <x:v>Not Run</x:v>
      </x:c>
      <x:c r="P337" s="15" t="str"/>
    </x:row>
    <x:row r="338">
      <x:c r="A338" s="15" t="str">
        <x:v>REL-011</x:v>
      </x:c>
      <x:c r="B338" s="15" t="str">
        <x:v>Reliability</x:v>
      </x:c>
      <x:c r="C338" s="15" t="str">
        <x:v>Preserve September 2026 baseline</x:v>
      </x:c>
      <x:c r="D338" s="15" t="str">
        <x:v>Submission finalization is atomic</x:v>
      </x:c>
      <x:c r="E338" s="15" t="str">
        <x:v>Force failure during finalization.</x:v>
      </x:c>
      <x:c r="F338" s="15" t="str">
        <x:v>Submit.</x:v>
      </x:c>
      <x:c r="G338" s="15" t="str">
        <x:v>No partial listing/photo relational state is committed.</x:v>
      </x:c>
      <x:c r="H338" s="15" t="str">
        <x:v>Particular</x:v>
      </x:c>
      <x:c r="I338" s="15" t="str">
        <x:v>DB/Integration</x:v>
      </x:c>
      <x:c r="J338" s="15" t="str">
        <x:v>Automated</x:v>
      </x:c>
      <x:c r="K338" s="15" t="str">
        <x:v>P0</x:v>
      </x:c>
      <x:c r="L338" s="15" t="str">
        <x:v>Blocking</x:v>
      </x:c>
      <x:c r="M338" s="15" t="str">
        <x:v>L286-L302</x:v>
      </x:c>
      <x:c r="N338" s="15" t="str">
        <x:v>DONE</x:v>
      </x:c>
      <x:c r="O338" s="15" t="str">
        <x:v>Not Run</x:v>
      </x:c>
      <x:c r="P338" s="15" t="str"/>
    </x:row>
    <x:row r="339">
      <x:c r="A339" s="15" t="str">
        <x:v>REL-012</x:v>
      </x:c>
      <x:c r="B339" s="15" t="str">
        <x:v>Reliability</x:v>
      </x:c>
      <x:c r="C339" s="15" t="str">
        <x:v>Preserve September 2026 baseline</x:v>
      </x:c>
      <x:c r="D339" s="15" t="str">
        <x:v>Submission finalization is idempotent</x:v>
      </x:c>
      <x:c r="E339" s="15" t="str">
        <x:v>Same submission ID finalized twice.</x:v>
      </x:c>
      <x:c r="F339" s="15" t="str">
        <x:v>Retry.</x:v>
      </x:c>
      <x:c r="G339" s="15" t="str">
        <x:v>One logical record only.</x:v>
      </x:c>
      <x:c r="H339" s="15" t="str">
        <x:v>Particular</x:v>
      </x:c>
      <x:c r="I339" s="15" t="str">
        <x:v>DB/Integration</x:v>
      </x:c>
      <x:c r="J339" s="15" t="str">
        <x:v>Automated</x:v>
      </x:c>
      <x:c r="K339" s="15" t="str">
        <x:v>P0</x:v>
      </x:c>
      <x:c r="L339" s="15" t="str">
        <x:v>Blocking</x:v>
      </x:c>
      <x:c r="M339" s="15" t="str">
        <x:v>L286-L302</x:v>
      </x:c>
      <x:c r="N339" s="15" t="str">
        <x:v>DONE</x:v>
      </x:c>
      <x:c r="O339" s="15" t="str">
        <x:v>Not Run</x:v>
      </x:c>
      <x:c r="P339" s="15" t="str"/>
    </x:row>
    <x:row r="340">
      <x:c r="A340" s="15" t="str">
        <x:v>REL-013</x:v>
      </x:c>
      <x:c r="B340" s="15" t="str">
        <x:v>Reliability</x:v>
      </x:c>
      <x:c r="C340" s="15" t="str">
        <x:v>Preserve September 2026 baseline</x:v>
      </x:c>
      <x:c r="D340" s="15" t="str">
        <x:v>Partial upload cleanup attempts run</x:v>
      </x:c>
      <x:c r="E340" s="15" t="str">
        <x:v>Force upload failure after some files.</x:v>
      </x:c>
      <x:c r="F340" s="15" t="str">
        <x:v>Observe recovery.</x:v>
      </x:c>
      <x:c r="G340" s="15" t="str">
        <x:v>Cleanup attempted and retry remains possible.</x:v>
      </x:c>
      <x:c r="H340" s="15" t="str">
        <x:v>Particular</x:v>
      </x:c>
      <x:c r="I340" s="15" t="str">
        <x:v>Integration</x:v>
      </x:c>
      <x:c r="J340" s="15" t="str">
        <x:v>Automated</x:v>
      </x:c>
      <x:c r="K340" s="15" t="str">
        <x:v>P1</x:v>
      </x:c>
      <x:c r="L340" s="15" t="str">
        <x:v>Blocking</x:v>
      </x:c>
      <x:c r="M340" s="15" t="str">
        <x:v>L286-L302</x:v>
      </x:c>
      <x:c r="N340" s="15" t="str">
        <x:v>DONE</x:v>
      </x:c>
      <x:c r="O340" s="15" t="str">
        <x:v>Not Run</x:v>
      </x:c>
      <x:c r="P340" s="15" t="str"/>
    </x:row>
    <x:row r="341">
      <x:c r="A341" s="15" t="str">
        <x:v>REL-014</x:v>
      </x:c>
      <x:c r="B341" s="15" t="str">
        <x:v>Reliability</x:v>
      </x:c>
      <x:c r="C341" s="15" t="str">
        <x:v>Preserve September 2026 baseline</x:v>
      </x:c>
      <x:c r="D341" s="15" t="str">
        <x:v>Existing regression suite passes after each sprint</x:v>
      </x:c>
      <x:c r="E341" s="15" t="str">
        <x:v>Repository with sprint changes.</x:v>
      </x:c>
      <x:c r="F341" s="15" t="str">
        <x:v>Run npm tests + DB regression suite.</x:v>
      </x:c>
      <x:c r="G341" s="15" t="str">
        <x:v>All baseline regression tests pass.</x:v>
      </x:c>
      <x:c r="H341" s="15" t="str">
        <x:v>Developer</x:v>
      </x:c>
      <x:c r="I341" s="15" t="str">
        <x:v>CI</x:v>
      </x:c>
      <x:c r="J341" s="15" t="str">
        <x:v>Automated</x:v>
      </x:c>
      <x:c r="K341" s="15" t="str">
        <x:v>P0</x:v>
      </x:c>
      <x:c r="L341" s="15" t="str">
        <x:v>Blocking</x:v>
      </x:c>
      <x:c r="M341" s="15" t="str">
        <x:v>L286-L302</x:v>
      </x:c>
      <x:c r="N341" s="15" t="str">
        <x:v>DONE</x:v>
      </x:c>
      <x:c r="O341" s="15" t="str">
        <x:v>Not Run</x:v>
      </x:c>
      <x:c r="P341" s="15" t="str"/>
    </x:row>
    <x:row r="342">
      <x:c r="A342" s="15" t="str">
        <x:v>REL-015</x:v>
      </x:c>
      <x:c r="B342" s="15" t="str">
        <x:v>Reliability</x:v>
      </x:c>
      <x:c r="C342" s="15" t="str">
        <x:v>Preserve September 2026 baseline</x:v>
      </x:c>
      <x:c r="D342" s="15" t="str">
        <x:v>Build/lint/typecheck pass</x:v>
      </x:c>
      <x:c r="E342" s="15" t="str">
        <x:v>Repository state.</x:v>
      </x:c>
      <x:c r="F342" s="15" t="str">
        <x:v>Run npm run lint, typecheck, build.</x:v>
      </x:c>
      <x:c r="G342" s="15" t="str">
        <x:v>All commands pass.</x:v>
      </x:c>
      <x:c r="H342" s="15" t="str">
        <x:v>Developer</x:v>
      </x:c>
      <x:c r="I342" s="15" t="str">
        <x:v>CI</x:v>
      </x:c>
      <x:c r="J342" s="15" t="str">
        <x:v>Automated</x:v>
      </x:c>
      <x:c r="K342" s="15" t="str">
        <x:v>P0</x:v>
      </x:c>
      <x:c r="L342" s="15" t="str">
        <x:v>Blocking</x:v>
      </x:c>
      <x:c r="M342" s="15" t="str">
        <x:v>L286-L302</x:v>
      </x:c>
      <x:c r="N342" s="15" t="str">
        <x:v>DONE</x:v>
      </x:c>
      <x:c r="O342" s="15" t="str">
        <x:v>Not Run</x:v>
      </x:c>
      <x:c r="P342" s="15" t="str"/>
    </x:row>
    <x:row r="343">
      <x:c r="A343" s="15" t="str">
        <x:v>SCOPE-001</x:v>
      </x:c>
      <x:c r="B343" s="15" t="str">
        <x:v>V1 Scope</x:v>
      </x:c>
      <x:c r="C343" s="15" t="str">
        <x:v>Out-of-scope guardrails</x:v>
      </x:c>
      <x:c r="D343" s="15" t="str">
        <x:v>No Laria checkout is exposed</x:v>
      </x:c>
      <x:c r="E343" s="15" t="str">
        <x:v>App surfaces.</x:v>
      </x:c>
      <x:c r="F343" s="15" t="str">
        <x:v>Inspect purchase flow.</x:v>
      </x:c>
      <x:c r="G343" s="15" t="str">
        <x:v>No in-platform checkout/payment collection exists.</x:v>
      </x:c>
      <x:c r="H343" s="15" t="str">
        <x:v>All</x:v>
      </x:c>
      <x:c r="I343" s="15" t="str">
        <x:v>Manual</x:v>
      </x:c>
      <x:c r="J343" s="15" t="str">
        <x:v>Manual</x:v>
      </x:c>
      <x:c r="K343" s="15" t="str">
        <x:v>P0</x:v>
      </x:c>
      <x:c r="L343" s="15" t="str">
        <x:v>Blocking</x:v>
      </x:c>
      <x:c r="M343" s="15" t="str">
        <x:v>L266-L278</x:v>
      </x:c>
      <x:c r="N343" s="15" t="str">
        <x:v>DONE</x:v>
      </x:c>
      <x:c r="O343" s="15" t="str">
        <x:v>Not Run</x:v>
      </x:c>
      <x:c r="P343" s="15" t="str"/>
    </x:row>
    <x:row r="344">
      <x:c r="A344" s="15" t="str">
        <x:v>SCOPE-002</x:v>
      </x:c>
      <x:c r="B344" s="15" t="str">
        <x:v>V1 Scope</x:v>
      </x:c>
      <x:c r="C344" s="15" t="str">
        <x:v>Out-of-scope guardrails</x:v>
      </x:c>
      <x:c r="D344" s="15" t="str">
        <x:v>No escrow workflow is exposed</x:v>
      </x:c>
      <x:c r="E344" s="15" t="str">
        <x:v>App surfaces.</x:v>
      </x:c>
      <x:c r="F344" s="15" t="str">
        <x:v>Inspect transaction flow.</x:v>
      </x:c>
      <x:c r="G344" s="15" t="str">
        <x:v>No escrow claim/feature exists.</x:v>
      </x:c>
      <x:c r="H344" s="15" t="str">
        <x:v>All</x:v>
      </x:c>
      <x:c r="I344" s="15" t="str">
        <x:v>Manual</x:v>
      </x:c>
      <x:c r="J344" s="15" t="str">
        <x:v>Manual</x:v>
      </x:c>
      <x:c r="K344" s="15" t="str">
        <x:v>P0</x:v>
      </x:c>
      <x:c r="L344" s="15" t="str">
        <x:v>Blocking</x:v>
      </x:c>
      <x:c r="M344" s="15" t="str">
        <x:v>L266-L278</x:v>
      </x:c>
      <x:c r="N344" s="15" t="str">
        <x:v>DONE</x:v>
      </x:c>
      <x:c r="O344" s="15" t="str">
        <x:v>Not Run</x:v>
      </x:c>
      <x:c r="P344" s="15" t="str"/>
    </x:row>
    <x:row r="345">
      <x:c r="A345" s="15" t="str">
        <x:v>SCOPE-003</x:v>
      </x:c>
      <x:c r="B345" s="15" t="str">
        <x:v>V1 Scope</x:v>
      </x:c>
      <x:c r="C345" s="15" t="str">
        <x:v>Out-of-scope guardrails</x:v>
      </x:c>
      <x:c r="D345" s="15" t="str">
        <x:v>No shipping-management workflow is exposed</x:v>
      </x:c>
      <x:c r="E345" s="15" t="str">
        <x:v>App surfaces.</x:v>
      </x:c>
      <x:c r="F345" s="15" t="str">
        <x:v>Inspect listing/account flow.</x:v>
      </x:c>
      <x:c r="G345" s="15" t="str">
        <x:v>No Laria shipping orchestration exists.</x:v>
      </x:c>
      <x:c r="H345" s="15" t="str">
        <x:v>All</x:v>
      </x:c>
      <x:c r="I345" s="15" t="str">
        <x:v>Manual</x:v>
      </x:c>
      <x:c r="J345" s="15" t="str">
        <x:v>Manual</x:v>
      </x:c>
      <x:c r="K345" s="15" t="str">
        <x:v>P1</x:v>
      </x:c>
      <x:c r="L345" s="15" t="str">
        <x:v>Blocking</x:v>
      </x:c>
      <x:c r="M345" s="15" t="str">
        <x:v>L266-L278</x:v>
      </x:c>
      <x:c r="N345" s="15" t="str">
        <x:v>DONE</x:v>
      </x:c>
      <x:c r="O345" s="15" t="str">
        <x:v>Not Run</x:v>
      </x:c>
      <x:c r="P345" s="15" t="str"/>
    </x:row>
    <x:row r="346">
      <x:c r="A346" s="15" t="str">
        <x:v>SCOPE-004</x:v>
      </x:c>
      <x:c r="B346" s="15" t="str">
        <x:v>V1 Scope</x:v>
      </x:c>
      <x:c r="C346" s="15" t="str">
        <x:v>Out-of-scope guardrails</x:v>
      </x:c>
      <x:c r="D346" s="15" t="str">
        <x:v>No transaction commission enforcement exists</x:v>
      </x:c>
      <x:c r="E346" s="15" t="str">
        <x:v>Seller/store flows.</x:v>
      </x:c>
      <x:c r="F346" s="15" t="str">
        <x:v>Inspect lifecycle/fees.</x:v>
      </x:c>
      <x:c r="G346" s="15" t="str">
        <x:v>No V1 commission collection/enforcement.</x:v>
      </x:c>
      <x:c r="H346" s="15" t="str">
        <x:v>All</x:v>
      </x:c>
      <x:c r="I346" s="15" t="str">
        <x:v>Manual</x:v>
      </x:c>
      <x:c r="J346" s="15" t="str">
        <x:v>Manual</x:v>
      </x:c>
      <x:c r="K346" s="15" t="str">
        <x:v>P1</x:v>
      </x:c>
      <x:c r="L346" s="15" t="str">
        <x:v>Blocking</x:v>
      </x:c>
      <x:c r="M346" s="15" t="str">
        <x:v>L266-L278</x:v>
      </x:c>
      <x:c r="N346" s="15" t="str">
        <x:v>DONE</x:v>
      </x:c>
      <x:c r="O346" s="15" t="str">
        <x:v>Not Run</x:v>
      </x:c>
      <x:c r="P346" s="15" t="str"/>
    </x:row>
    <x:row r="347">
      <x:c r="A347" s="15" t="str">
        <x:v>SCOPE-005</x:v>
      </x:c>
      <x:c r="B347" s="15" t="str">
        <x:v>V1 Scope</x:v>
      </x:c>
      <x:c r="C347" s="15" t="str">
        <x:v>Out-of-scope guardrails</x:v>
      </x:c>
      <x:c r="D347" s="15" t="str">
        <x:v>No paid subscription/boost purchase exists</x:v>
      </x:c>
      <x:c r="E347" s="15" t="str">
        <x:v>Store/listing account surfaces.</x:v>
      </x:c>
      <x:c r="F347" s="15" t="str">
        <x:v>Inspect plans/actions.</x:v>
      </x:c>
      <x:c r="G347" s="15" t="str">
        <x:v>V1 remains free; no purchasable plan/boost workflow.</x:v>
      </x:c>
      <x:c r="H347" s="15" t="str">
        <x:v>All</x:v>
      </x:c>
      <x:c r="I347" s="15" t="str">
        <x:v>Manual</x:v>
      </x:c>
      <x:c r="J347" s="15" t="str">
        <x:v>Manual</x:v>
      </x:c>
      <x:c r="K347" s="15" t="str">
        <x:v>P0</x:v>
      </x:c>
      <x:c r="L347" s="15" t="str">
        <x:v>Blocking</x:v>
      </x:c>
      <x:c r="M347" s="15" t="str">
        <x:v>L266-L278</x:v>
      </x:c>
      <x:c r="N347" s="15" t="str">
        <x:v>DONE</x:v>
      </x:c>
      <x:c r="O347" s="15" t="str">
        <x:v>Not Run</x:v>
      </x:c>
      <x:c r="P347" s="15" t="str"/>
    </x:row>
    <x:row r="348">
      <x:c r="A348" s="15" t="str">
        <x:v>SCOPE-006</x:v>
      </x:c>
      <x:c r="B348" s="15" t="str">
        <x:v>V1 Scope</x:v>
      </x:c>
      <x:c r="C348" s="15" t="str">
        <x:v>Out-of-scope guardrails</x:v>
      </x:c>
      <x:c r="D348" s="15" t="str">
        <x:v>No internal messaging/chat exists as working feature</x:v>
      </x:c>
      <x:c r="E348" s="15" t="str">
        <x:v>App surfaces.</x:v>
      </x:c>
      <x:c r="F348" s="15" t="str">
        <x:v>Inspect contact flows.</x:v>
      </x:c>
      <x:c r="G348" s="15" t="str">
        <x:v>WhatsApp remains external communication path.</x:v>
      </x:c>
      <x:c r="H348" s="15" t="str">
        <x:v>All</x:v>
      </x:c>
      <x:c r="I348" s="15" t="str">
        <x:v>Manual</x:v>
      </x:c>
      <x:c r="J348" s="15" t="str">
        <x:v>Manual</x:v>
      </x:c>
      <x:c r="K348" s="15" t="str">
        <x:v>P1</x:v>
      </x:c>
      <x:c r="L348" s="15" t="str">
        <x:v>Blocking</x:v>
      </x:c>
      <x:c r="M348" s="15" t="str">
        <x:v>L266-L278</x:v>
      </x:c>
      <x:c r="N348" s="15" t="str">
        <x:v>DONE</x:v>
      </x:c>
      <x:c r="O348" s="15" t="str">
        <x:v>Not Run</x:v>
      </x:c>
      <x:c r="P348" s="15" t="str"/>
    </x:row>
    <x:row r="349">
      <x:c r="A349" s="15" t="str">
        <x:v>SCOPE-007</x:v>
      </x:c>
      <x:c r="B349" s="15" t="str">
        <x:v>V1 Scope</x:v>
      </x:c>
      <x:c r="C349" s="15" t="str">
        <x:v>Out-of-scope guardrails</x:v>
      </x:c>
      <x:c r="D349" s="15" t="str">
        <x:v>No multi-employee store management UI is active</x:v>
      </x:c>
      <x:c r="E349" s="15" t="str">
        <x:v>Store dashboard.</x:v>
      </x:c>
      <x:c r="F349" s="15" t="str">
        <x:v>Inspect member management.</x:v>
      </x:c>
      <x:c r="G349" s="15" t="str">
        <x:v>One effective owner account is the V1 supported workflow.</x:v>
      </x:c>
      <x:c r="H349" s="15" t="str">
        <x:v>Store Owner</x:v>
      </x:c>
      <x:c r="I349" s="15" t="str">
        <x:v>Manual</x:v>
      </x:c>
      <x:c r="J349" s="15" t="str">
        <x:v>Manual</x:v>
      </x:c>
      <x:c r="K349" s="15" t="str">
        <x:v>P2</x:v>
      </x:c>
      <x:c r="L349" s="15" t="str">
        <x:v>Non-blocking</x:v>
      </x:c>
      <x:c r="M349" s="15" t="str">
        <x:v>L266-L278</x:v>
      </x:c>
      <x:c r="N349" s="15" t="str">
        <x:v>DONE</x:v>
      </x:c>
      <x:c r="O349" s="15" t="str">
        <x:v>Not Run</x:v>
      </x:c>
      <x:c r="P349" s="15" t="str"/>
    </x:row>
    <x:row r="350">
      <x:c r="A350" s="15" t="str">
        <x:v>SCOPE-008</x:v>
      </x:c>
      <x:c r="B350" s="15" t="str">
        <x:v>V1 Scope</x:v>
      </x:c>
      <x:c r="C350" s="15" t="str">
        <x:v>Out-of-scope guardrails</x:v>
      </x:c>
      <x:c r="D350" s="15" t="str">
        <x:v>No automatic SUNAT verification is claimed</x:v>
      </x:c>
      <x:c r="E350" s="15" t="str">
        <x:v>Store verification.</x:v>
      </x:c>
      <x:c r="F350" s="15" t="str">
        <x:v>Inspect workflow/copy.</x:v>
      </x:c>
      <x:c r="G350" s="15" t="str">
        <x:v>Verification remains manual admin process.</x:v>
      </x:c>
      <x:c r="H350" s="15" t="str">
        <x:v>Admin</x:v>
      </x:c>
      <x:c r="I350" s="15" t="str">
        <x:v>Manual</x:v>
      </x:c>
      <x:c r="J350" s="15" t="str">
        <x:v>Manual</x:v>
      </x:c>
      <x:c r="K350" s="15" t="str">
        <x:v>P1</x:v>
      </x:c>
      <x:c r="L350" s="15" t="str">
        <x:v>Blocking</x:v>
      </x:c>
      <x:c r="M350" s="15" t="str">
        <x:v>L266-L278</x:v>
      </x:c>
      <x:c r="N350" s="15" t="str">
        <x:v>DONE</x:v>
      </x:c>
      <x:c r="O350" s="15" t="str">
        <x:v>Not Run</x:v>
      </x:c>
      <x:c r="P350" s="15" t="str"/>
    </x:row>
  </x:sheetData>
  <x:conditionalFormatting sqref="O2:O350">
    <x:cfRule type="expression" dxfId="0" priority="1">
      <x:formula>O2="Pass"</x:formula>
    </x:cfRule>
    <x:cfRule type="expression" dxfId="1" priority="2">
      <x:formula>O2="Fail"</x:formula>
    </x:cfRule>
    <x:cfRule type="expression" dxfId="2" priority="3">
      <x:formula>O2="Blocked"</x:formula>
    </x:cfRule>
  </x:conditionalFormatting>
  <x:conditionalFormatting sqref="K2:K350">
    <x:cfRule type="expression" dxfId="3" priority="4">
      <x:formula>K2="P0"</x:formula>
    </x:cfRule>
  </x:conditionalFormatting>
  <x:dataValidations count="4">
    <x:dataValidation type="list" sqref="O2:O350">
      <x:formula1>"Not Run,Pass,Fail,Blocked,N/A"</x:formula1>
    </x:dataValidation>
    <x:dataValidation type="list" sqref="J2:J350">
      <x:formula1>"Automated,Manual,Both"</x:formula1>
    </x:dataValidation>
    <x:dataValidation type="list" sqref="K2:K350">
      <x:formula1>"P0,P1,P2"</x:formula1>
    </x:dataValidation>
    <x:dataValidation type="list" sqref="L2:L350">
      <x:formula1>"Blocking,Non-blocking"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ae8ff4ffc24c2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4" max="4" width="28" hidden="0" customWidth="1"/>
    <x:col min="5" max="5" width="12" hidden="0" customWidth="1"/>
    <x:col min="6" max="6" width="12" hidden="0" customWidth="1"/>
  </x:cols>
  <x:sheetData>
    <x:row r="1">
      <x:c r="A1" s="21" t="str">
        <x:v>Laria V1 Acceptance Coverage</x:v>
      </x:c>
      <x:c r="B1" s="21"/>
      <x:c r="C1" s="21"/>
      <x:c r="D1" s="21"/>
      <x:c r="E1" s="21"/>
      <x:c r="F1" s="21"/>
      <x:c r="G1" s="21"/>
      <x:c r="H1" s="21"/>
    </x:row>
    <x:row r="3">
      <x:c r="A3" s="6" t="str">
        <x:v>KPI</x:v>
      </x:c>
      <x:c r="B3" s="6" t="str">
        <x:v>Value</x:v>
      </x:c>
      <x:c r="D3" s="6" t="str">
        <x:v>Domain</x:v>
      </x:c>
      <x:c r="E3" s="6" t="str">
        <x:v>Cases</x:v>
      </x:c>
      <x:c r="F3" s="6" t="str">
        <x:v>P0</x:v>
      </x:c>
    </x:row>
    <x:row r="4">
      <x:c r="A4" s="12" t="str">
        <x:v>Total test cases</x:v>
      </x:c>
      <x:c r="B4" s="12" t="n">
        <x:v>349</x:v>
      </x:c>
      <x:c r="D4" s="12" t="str">
        <x:v>Public Marketplace</x:v>
      </x:c>
      <x:c r="E4" s="12" t="n">
        <x:f>COUNTIF('Acceptance Matrix'!B:B,D4)</x:f>
        <x:v>7</x:v>
      </x:c>
      <x:c r="F4" s="12" t="n">
        <x:f>COUNTIFS('Acceptance Matrix'!B:B,D4,'Acceptance Matrix'!K:K,"P0")</x:f>
        <x:v>5</x:v>
      </x:c>
    </x:row>
    <x:row r="5">
      <x:c r="A5" s="12" t="str">
        <x:v>P0 cases</x:v>
      </x:c>
      <x:c r="B5" s="12" t="n">
        <x:f>COUNTIF('Acceptance Matrix'!K2:K350,"P0")</x:f>
        <x:v>224</x:v>
      </x:c>
      <x:c r="D5" s="12" t="str">
        <x:v>Accounts &amp; Authentication</x:v>
      </x:c>
      <x:c r="E5" s="12" t="n">
        <x:f>COUNTIF('Acceptance Matrix'!B:B,D5)</x:f>
        <x:v>22</x:v>
      </x:c>
      <x:c r="F5" s="12" t="n">
        <x:f>COUNTIFS('Acceptance Matrix'!B:B,D5,'Acceptance Matrix'!K:K,"P0")</x:f>
        <x:v>15</x:v>
      </x:c>
    </x:row>
    <x:row r="6">
      <x:c r="A6" s="12" t="str">
        <x:v>Blocking cases</x:v>
      </x:c>
      <x:c r="B6" s="12" t="n">
        <x:f>COUNTIF('Acceptance Matrix'!L2:L350,"Blocking")</x:f>
        <x:v>341</x:v>
      </x:c>
      <x:c r="D6" s="12" t="str">
        <x:v>Listings</x:v>
      </x:c>
      <x:c r="E6" s="12" t="n">
        <x:f>COUNTIF('Acceptance Matrix'!B:B,D6)</x:f>
        <x:v>69</x:v>
      </x:c>
      <x:c r="F6" s="12" t="n">
        <x:f>COUNTIFS('Acceptance Matrix'!B:B,D6,'Acceptance Matrix'!K:K,"P0")</x:f>
        <x:v>47</x:v>
      </x:c>
    </x:row>
    <x:row r="7">
      <x:c r="A7" s="12" t="str">
        <x:v>Automated</x:v>
      </x:c>
      <x:c r="B7" s="12" t="n">
        <x:f>COUNTIF('Acceptance Matrix'!J2:J350,"Automated")</x:f>
        <x:v>299</x:v>
      </x:c>
      <x:c r="D7" s="12" t="str">
        <x:v>Security &amp; Ownership</x:v>
      </x:c>
      <x:c r="E7" s="12" t="n">
        <x:f>COUNTIF('Acceptance Matrix'!B:B,D7)</x:f>
        <x:v>12</x:v>
      </x:c>
      <x:c r="F7" s="12" t="n">
        <x:f>COUNTIFS('Acceptance Matrix'!B:B,D7,'Acceptance Matrix'!K:K,"P0")</x:f>
        <x:v>12</x:v>
      </x:c>
    </x:row>
    <x:row r="8">
      <x:c r="A8" s="12" t="str">
        <x:v>Manual</x:v>
      </x:c>
      <x:c r="B8" s="12" t="n">
        <x:f>COUNTIF('Acceptance Matrix'!J2:J350,"Manual")</x:f>
        <x:v>23</x:v>
      </x:c>
      <x:c r="D8" s="12" t="str">
        <x:v>Particular Dashboard</x:v>
      </x:c>
      <x:c r="E8" s="12" t="n">
        <x:f>COUNTIF('Acceptance Matrix'!B:B,D8)</x:f>
        <x:v>7</x:v>
      </x:c>
      <x:c r="F8" s="12" t="n">
        <x:f>COUNTIFS('Acceptance Matrix'!B:B,D8,'Acceptance Matrix'!K:K,"P0")</x:f>
        <x:v>3</x:v>
      </x:c>
    </x:row>
    <x:row r="9">
      <x:c r="A9" s="12" t="str">
        <x:v>Both</x:v>
      </x:c>
      <x:c r="B9" s="12" t="n">
        <x:f>COUNTIF('Acceptance Matrix'!J2:J350,"Both")</x:f>
        <x:v>27</x:v>
      </x:c>
      <x:c r="D9" s="12" t="str">
        <x:v>Analytics</x:v>
      </x:c>
      <x:c r="E9" s="12" t="n">
        <x:f>COUNTIF('Acceptance Matrix'!B:B,D9)</x:f>
        <x:v>36</x:v>
      </x:c>
      <x:c r="F9" s="12" t="n">
        <x:f>COUNTIFS('Acceptance Matrix'!B:B,D9,'Acceptance Matrix'!K:K,"P0")</x:f>
        <x:v>12</x:v>
      </x:c>
    </x:row>
    <x:row r="10">
      <x:c r="A10" s="12" t="str">
        <x:v>Passed</x:v>
      </x:c>
      <x:c r="B10" s="12" t="n">
        <x:f>COUNTIF('Acceptance Matrix'!O2:O350,"Pass")</x:f>
        <x:v>0</x:v>
      </x:c>
      <x:c r="D10" s="12" t="str">
        <x:v>Stores</x:v>
      </x:c>
      <x:c r="E10" s="12" t="n">
        <x:f>COUNTIF('Acceptance Matrix'!B:B,D10)</x:f>
        <x:v>41</x:v>
      </x:c>
      <x:c r="F10" s="12" t="n">
        <x:f>COUNTIFS('Acceptance Matrix'!B:B,D10,'Acceptance Matrix'!K:K,"P0")</x:f>
        <x:v>30</x:v>
      </x:c>
    </x:row>
    <x:row r="11">
      <x:c r="A11" s="12" t="str">
        <x:v>Failed</x:v>
      </x:c>
      <x:c r="B11" s="12" t="n">
        <x:f>COUNTIF('Acceptance Matrix'!O2:O350,"Fail")</x:f>
        <x:v>0</x:v>
      </x:c>
      <x:c r="D11" s="12" t="str">
        <x:v>Store Dashboard</x:v>
      </x:c>
      <x:c r="E11" s="12" t="n">
        <x:f>COUNTIF('Acceptance Matrix'!B:B,D11)</x:f>
        <x:v>10</x:v>
      </x:c>
      <x:c r="F11" s="12" t="n">
        <x:f>COUNTIFS('Acceptance Matrix'!B:B,D11,'Acceptance Matrix'!K:K,"P0")</x:f>
        <x:v>7</x:v>
      </x:c>
    </x:row>
    <x:row r="12">
      <x:c r="D12" s="12" t="str">
        <x:v>Buyer Features</x:v>
      </x:c>
      <x:c r="E12" s="12" t="n">
        <x:f>COUNTIF('Acceptance Matrix'!B:B,D12)</x:f>
        <x:v>35</x:v>
      </x:c>
      <x:c r="F12" s="12" t="n">
        <x:f>COUNTIFS('Acceptance Matrix'!B:B,D12,'Acceptance Matrix'!K:K,"P0")</x:f>
        <x:v>21</x:v>
      </x:c>
    </x:row>
    <x:row r="13">
      <x:c r="D13" s="12" t="str">
        <x:v>Discovery</x:v>
      </x:c>
      <x:c r="E13" s="12" t="n">
        <x:f>COUNTIF('Acceptance Matrix'!B:B,D13)</x:f>
        <x:v>7</x:v>
      </x:c>
      <x:c r="F13" s="12" t="n">
        <x:f>COUNTIFS('Acceptance Matrix'!B:B,D13,'Acceptance Matrix'!K:K,"P0")</x:f>
        <x:v>1</x:v>
      </x:c>
    </x:row>
    <x:row r="14">
      <x:c r="D14" s="12" t="str">
        <x:v>Transactions</x:v>
      </x:c>
      <x:c r="E14" s="12" t="n">
        <x:f>COUNTIF('Acceptance Matrix'!B:B,D14)</x:f>
        <x:v>16</x:v>
      </x:c>
      <x:c r="F14" s="12" t="n">
        <x:f>COUNTIFS('Acceptance Matrix'!B:B,D14,'Acceptance Matrix'!K:K,"P0")</x:f>
        <x:v>16</x:v>
      </x:c>
    </x:row>
    <x:row r="15">
      <x:c r="D15" s="12" t="str">
        <x:v>Reviews</x:v>
      </x:c>
      <x:c r="E15" s="12" t="n">
        <x:f>COUNTIF('Acceptance Matrix'!B:B,D15)</x:f>
        <x:v>20</x:v>
      </x:c>
      <x:c r="F15" s="12" t="n">
        <x:f>COUNTIFS('Acceptance Matrix'!B:B,D15,'Acceptance Matrix'!K:K,"P0")</x:f>
        <x:v>15</x:v>
      </x:c>
    </x:row>
    <x:row r="16">
      <x:c r="D16" s="12" t="str">
        <x:v>Trust &amp; Safety</x:v>
      </x:c>
      <x:c r="E16" s="12" t="n">
        <x:f>COUNTIF('Acceptance Matrix'!B:B,D16)</x:f>
        <x:v>10</x:v>
      </x:c>
      <x:c r="F16" s="12" t="n">
        <x:f>COUNTIFS('Acceptance Matrix'!B:B,D16,'Acceptance Matrix'!K:K,"P0")</x:f>
        <x:v>4</x:v>
      </x:c>
    </x:row>
    <x:row r="17">
      <x:c r="D17" s="12" t="str">
        <x:v>Admin</x:v>
      </x:c>
      <x:c r="E17" s="12" t="n">
        <x:f>COUNTIF('Acceptance Matrix'!B:B,D17)</x:f>
        <x:v>16</x:v>
      </x:c>
      <x:c r="F17" s="12" t="n">
        <x:f>COUNTIFS('Acceptance Matrix'!B:B,D17,'Acceptance Matrix'!K:K,"P0")</x:f>
        <x:v>12</x:v>
      </x:c>
    </x:row>
    <x:row r="18">
      <x:c r="D18" s="12" t="str">
        <x:v>Notifications</x:v>
      </x:c>
      <x:c r="E18" s="12" t="n">
        <x:f>COUNTIF('Acceptance Matrix'!B:B,D18)</x:f>
        <x:v>12</x:v>
      </x:c>
      <x:c r="F18" s="12" t="n">
        <x:f>COUNTIFS('Acceptance Matrix'!B:B,D18,'Acceptance Matrix'!K:K,"P0")</x:f>
        <x:v>8</x:v>
      </x:c>
    </x:row>
    <x:row r="19">
      <x:c r="D19" s="12" t="str">
        <x:v>Legal &amp; Safety</x:v>
      </x:c>
      <x:c r="E19" s="12" t="n">
        <x:f>COUNTIF('Acceptance Matrix'!B:B,D19)</x:f>
        <x:v>6</x:v>
      </x:c>
      <x:c r="F19" s="12" t="n">
        <x:f>COUNTIFS('Acceptance Matrix'!B:B,D19,'Acceptance Matrix'!K:K,"P0")</x:f>
        <x:v>4</x:v>
      </x:c>
    </x:row>
    <x:row r="20">
      <x:c r="D20" s="12" t="str">
        <x:v>Reliability</x:v>
      </x:c>
      <x:c r="E20" s="12" t="n">
        <x:f>COUNTIF('Acceptance Matrix'!B:B,D20)</x:f>
        <x:v>15</x:v>
      </x:c>
      <x:c r="F20" s="12" t="n">
        <x:f>COUNTIFS('Acceptance Matrix'!B:B,D20,'Acceptance Matrix'!K:K,"P0")</x:f>
        <x:v>9</x:v>
      </x:c>
    </x:row>
    <x:row r="21">
      <x:c r="D21" s="12" t="str">
        <x:v>V1 Scope</x:v>
      </x:c>
      <x:c r="E21" s="12" t="n">
        <x:f>COUNTIF('Acceptance Matrix'!B:B,D21)</x:f>
        <x:v>8</x:v>
      </x:c>
      <x:c r="F21" s="12" t="n">
        <x:f>COUNTIFS('Acceptance Matrix'!B:B,D21,'Acceptance Matrix'!K:K,"P0")</x:f>
        <x:v>3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38" hidden="0" customWidth="1"/>
    <x:col min="4" max="4" width="54" hidden="0" customWidth="1"/>
  </x:cols>
  <x:sheetData>
    <x:row r="1">
      <x:c r="A1" s="6" t="str">
        <x:v>Fixture</x:v>
      </x:c>
      <x:c r="B1" s="6" t="str">
        <x:v>Role</x:v>
      </x:c>
      <x:c r="C1" s="6" t="str">
        <x:v>Purpose</x:v>
      </x:c>
      <x:c r="D1" s="6" t="str">
        <x:v>Minimum Setup</x:v>
      </x:c>
    </x:row>
    <x:row r="2">
      <x:c r="A2" s="12" t="str">
        <x:v>ANON</x:v>
      </x:c>
      <x:c r="B2" s="12" t="str">
        <x:v>Anonymous visitor</x:v>
      </x:c>
      <x:c r="C2" s="12" t="str">
        <x:v>Public browsing, public WhatsApp, auth gates</x:v>
      </x:c>
      <x:c r="D2" s="12" t="str">
        <x:v>No session</x:v>
      </x:c>
    </x:row>
    <x:row r="3">
      <x:c r="A3" s="12" t="str">
        <x:v>P-A</x:v>
      </x:c>
      <x:c r="B3" s="12" t="str">
        <x:v>Particular A</x:v>
      </x:c>
      <x:c r="C3" s="12" t="str">
        <x:v>Primary buyer/seller happy paths</x:v>
      </x:c>
      <x:c r="D3" s="12" t="str">
        <x:v>Confirmed Particular profile with WhatsApp/city/region</x:v>
      </x:c>
    </x:row>
    <x:row r="4">
      <x:c r="A4" s="12" t="str">
        <x:v>P-B</x:v>
      </x:c>
      <x:c r="B4" s="12" t="str">
        <x:v>Particular B</x:v>
      </x:c>
      <x:c r="C4" s="12" t="str">
        <x:v>Cross-user authorization and review/contact scenarios</x:v>
      </x:c>
      <x:c r="D4" s="12" t="str">
        <x:v>Separate confirmed Particular profile</x:v>
      </x:c>
    </x:row>
    <x:row r="5">
      <x:c r="A5" s="12" t="str">
        <x:v>P-C</x:v>
      </x:c>
      <x:c r="B5" s="12" t="str">
        <x:v>Particular C</x:v>
      </x:c>
      <x:c r="C5" s="12" t="str">
        <x:v>Eligible buyer for verified-transaction tests</x:v>
      </x:c>
      <x:c r="D5" s="12" t="str">
        <x:v>Confirmed account + WhatsApp contact event on target listing</x:v>
      </x:c>
    </x:row>
    <x:row r="6">
      <x:c r="A6" s="12" t="str">
        <x:v>STORE-N</x:v>
      </x:c>
      <x:c r="B6" s="12" t="str">
        <x:v>Normal Tienda owner</x:v>
      </x:c>
      <x:c r="C6" s="12" t="str">
        <x:v>Moderated store inventory</x:v>
      </x:c>
      <x:c r="D6" s="12" t="str">
        <x:v>Store-owner account + approved nonverified store</x:v>
      </x:c>
    </x:row>
    <x:row r="7">
      <x:c r="A7" s="12" t="str">
        <x:v>STORE-V</x:v>
      </x:c>
      <x:c r="B7" s="12" t="str">
        <x:v>Tienda Verificada owner</x:v>
      </x:c>
      <x:c r="C7" s="12" t="str">
        <x:v>Direct publication and edit bypass</x:v>
      </x:c>
      <x:c r="D7" s="12" t="str">
        <x:v>Store-owner account + active verified store</x:v>
      </x:c>
    </x:row>
    <x:row r="8">
      <x:c r="A8" s="12" t="str">
        <x:v>STORE-P</x:v>
      </x:c>
      <x:c r="B8" s="12" t="str">
        <x:v>Pending store owner</x:v>
      </x:c>
      <x:c r="C8" s="12" t="str">
        <x:v>Pre-approval submission behavior</x:v>
      </x:c>
      <x:c r="D8" s="12" t="str">
        <x:v>Store-owner account + pending store</x:v>
      </x:c>
    </x:row>
    <x:row r="9">
      <x:c r="A9" s="12" t="str">
        <x:v>ADMIN</x:v>
      </x:c>
      <x:c r="B9" s="12" t="str">
        <x:v>Admin</x:v>
      </x:c>
      <x:c r="C9" s="12" t="str">
        <x:v>Moderation, verification, linking, reports</x:v>
      </x:c>
      <x:c r="D9" s="12" t="str">
        <x:v>Auth user with app_metadata.role='admin'</x:v>
      </x:c>
    </x:row>
    <x:row r="10">
      <x:c r="A10" s="12" t="str">
        <x:v>LEGACY</x:v>
      </x:c>
      <x:c r="B10" s="12" t="str">
        <x:v>Legacy unowned listing</x:v>
      </x:c>
      <x:c r="C10" s="12" t="str">
        <x:v>Historical contact fallback/manual ownership</x:v>
      </x:c>
      <x:c r="D10" s="12" t="str">
        <x:v>Listing owner_user_id=NULL with listing-level contact fields</x:v>
      </x:c>
    </x:row>
    <x:row r="11">
      <x:c r="A11" s="12" t="str">
        <x:v>LIST-A</x:v>
      </x:c>
      <x:c r="B11" s="12" t="str">
        <x:v>Approved Particular listing</x:v>
      </x:c>
      <x:c r="C11" s="12" t="str">
        <x:v>Lifecycle/edit/favorite/contact tests</x:v>
      </x:c>
      <x:c r="D11" s="12" t="str">
        <x:v>Owned approved listing with &gt;=2 photos</x:v>
      </x:c>
    </x:row>
    <x:row r="12">
      <x:c r="A12" s="12" t="str">
        <x:v>LIST-S</x:v>
      </x:c>
      <x:c r="B12" s="12" t="str">
        <x:v>Sold listing</x:v>
      </x:c>
      <x:c r="C12" s="12" t="str">
        <x:v>Direct URL/relist/transaction history</x:v>
      </x:c>
      <x:c r="D12" s="12" t="str">
        <x:v>Sold listing with stable slug</x:v>
      </x:c>
    </x:row>
    <x:row r="13">
      <x:c r="A13" s="12" t="str">
        <x:v>TX-V</x:v>
      </x:c>
      <x:c r="B13" s="12" t="str">
        <x:v>Verified transaction</x:v>
      </x:c>
      <x:c r="C13" s="12" t="str">
        <x:v>Review workflow</x:v>
      </x:c>
      <x:c r="D13" s="12" t="str">
        <x:v>Sold listing + eligible buyer + buyer confirmation</x:v>
      </x:c>
    </x:row>
  </x:sheetData>
  <x:pageMargins left="0.7" right="0.7" top="0.75" bottom="0.75" header="0.3" footer="0.3"/>
  <x:tableParts count="1">
    <x:tablePart xmlns:r="http://schemas.openxmlformats.org/officeDocument/2006/relationships" r:id="Rfb2fe027e2ac476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26" hidden="0" customWidth="1"/>
    <x:col min="4" max="4" width="58" hidden="0" customWidth="1"/>
  </x:cols>
  <x:sheetData>
    <x:row r="1">
      <x:c r="A1" s="6" t="str">
        <x:v>Spec Section</x:v>
      </x:c>
      <x:c r="B1" s="6" t="str">
        <x:v>Spec Lines</x:v>
      </x:c>
      <x:c r="C1" s="6" t="str">
        <x:v>Mapped Test Prefixes</x:v>
      </x:c>
      <x:c r="D1" s="6" t="str">
        <x:v>Notes</x:v>
      </x:c>
    </x:row>
    <x:row r="2">
      <x:c r="A2" s="12" t="str">
        <x:v>Product Model</x:v>
      </x:c>
      <x:c r="B2" s="12" t="str">
        <x:v>L12-L25</x:v>
      </x:c>
      <x:c r="C2" s="12" t="str">
        <x:v>PUB, SCOPE</x:v>
      </x:c>
      <x:c r="D2" s="12" t="str">
        <x:v>Public discovery model and V1 exclusions</x:v>
      </x:c>
    </x:row>
    <x:row r="3">
      <x:c r="A3" s="12" t="str">
        <x:v>Account Types / Authentication</x:v>
      </x:c>
      <x:c r="B3" s="12" t="str">
        <x:v>L27-L57</x:v>
      </x:c>
      <x:c r="C3" s="12" t="str">
        <x:v>AUTH</x:v>
      </x:c>
      <x:c r="D3" s="12" t="str">
        <x:v>Particular, Store Owner, Admin and auth completeness</x:v>
      </x:c>
    </x:row>
    <x:row r="4">
      <x:c r="A4" s="12" t="str">
        <x:v>Particular Listing Creation</x:v>
      </x:c>
      <x:c r="B4" s="12" t="str">
        <x:v>L59-L79</x:v>
      </x:c>
      <x:c r="C4" s="12" t="str">
        <x:v>LIST, PHOTO</x:v>
      </x:c>
      <x:c r="D4" s="12" t="str">
        <x:v>Account-required listing creation and 2–10 photos</x:v>
      </x:c>
    </x:row>
    <x:row r="5">
      <x:c r="A5" s="12" t="str">
        <x:v>Listing Lifecycle</x:v>
      </x:c>
      <x:c r="B5" s="12" t="str">
        <x:v>L81-L97</x:v>
      </x:c>
      <x:c r="C5" s="12" t="str">
        <x:v>LIFE</x:v>
      </x:c>
      <x:c r="D5" s="12" t="str">
        <x:v>Hidden, sold, immutable history, relist copy</x:v>
      </x:c>
    </x:row>
    <x:row r="6">
      <x:c r="A6" s="12" t="str">
        <x:v>Particular Dashboard / Profile</x:v>
      </x:c>
      <x:c r="B6" s="12" t="str">
        <x:v>L99-L115</x:v>
      </x:c>
      <x:c r="C6" s="12" t="str">
        <x:v>DASH, SANA, LIST</x:v>
      </x:c>
      <x:c r="D6" s="12" t="str">
        <x:v>Management, analytics, dynamic profile fallback</x:v>
      </x:c>
    </x:row>
    <x:row r="7">
      <x:c r="A7" s="12" t="str">
        <x:v>Approved Listing Editing</x:v>
      </x:c>
      <x:c r="B7" s="12" t="str">
        <x:v>L117-L137</x:v>
      </x:c>
      <x:c r="C7" s="12" t="str">
        <x:v>REV</x:v>
      </x:c>
      <x:c r="D7" s="12" t="str">
        <x:v>Immediate vs moderated edits; live version preserved</x:v>
      </x:c>
    </x:row>
    <x:row r="8">
      <x:c r="A8" s="12" t="str">
        <x:v>Store Account / Application</x:v>
      </x:c>
      <x:c r="B8" s="12" t="str">
        <x:v>L139-L154</x:v>
      </x:c>
      <x:c r="C8" s="12" t="str">
        <x:v>STORE</x:v>
      </x:c>
      <x:c r="D8" s="12" t="str">
        <x:v>Owner binding, required business data, unique RUC</x:v>
      </x:c>
    </x:row>
    <x:row r="9">
      <x:c r="A9" s="12" t="str">
        <x:v>Store Approval / Verification</x:v>
      </x:c>
      <x:c r="B9" s="12" t="str">
        <x:v>L156-L165</x:v>
      </x:c>
      <x:c r="C9" s="12" t="str">
        <x:v>VERIFY</x:v>
      </x:c>
      <x:c r="D9" s="12" t="str">
        <x:v>Tienda vs Tienda Verificada</x:v>
      </x:c>
    </x:row>
    <x:row r="10">
      <x:c r="A10" s="12" t="str">
        <x:v>Store Cap</x:v>
      </x:c>
      <x:c r="B10" s="12" t="str">
        <x:v>L167-L171</x:v>
      </x:c>
      <x:c r="C10" s="12" t="str">
        <x:v>CAP</x:v>
      </x:c>
      <x:c r="D10" s="12" t="str">
        <x:v>50 concurrent pending+approved</x:v>
      </x:c>
    </x:row>
    <x:row r="11">
      <x:c r="A11" s="12" t="str">
        <x:v>Store Dashboard</x:v>
      </x:c>
      <x:c r="B11" s="12" t="str">
        <x:v>L173-L177</x:v>
      </x:c>
      <x:c r="C11" s="12" t="str">
        <x:v>SDASH</x:v>
      </x:c>
      <x:c r="D11" s="12" t="str">
        <x:v>Inventory/profile/commercial analytics</x:v>
      </x:c>
    </x:row>
    <x:row r="12">
      <x:c r="A12" s="12" t="str">
        <x:v>Favorites / Alerts</x:v>
      </x:c>
      <x:c r="B12" s="12" t="str">
        <x:v>L179-L193</x:v>
      </x:c>
      <x:c r="C12" s="12" t="str">
        <x:v>FAV, PDA, ALERT</x:v>
      </x:c>
      <x:c r="D12" s="12" t="str">
        <x:v>Favorites, price drops, search alerts</x:v>
      </x:c>
    </x:row>
    <x:row r="13">
      <x:c r="A13" s="12" t="str">
        <x:v>Category SEO</x:v>
      </x:c>
      <x:c r="B13" s="12" t="str">
        <x:v>L195-L198</x:v>
      </x:c>
      <x:c r="C13" s="12" t="str">
        <x:v>SEO</x:v>
      </x:c>
      <x:c r="D13" s="12" t="str">
        <x:v>Real category browsing, route collision prevention</x:v>
      </x:c>
    </x:row>
    <x:row r="14">
      <x:c r="A14" s="12" t="str">
        <x:v>WhatsApp Tracking</x:v>
      </x:c>
      <x:c r="B14" s="12" t="str">
        <x:v>L199-L203</x:v>
      </x:c>
      <x:c r="C14" s="12" t="str">
        <x:v>WA</x:v>
      </x:c>
      <x:c r="D14" s="12" t="str">
        <x:v>Intent events and buyer eligibility</x:v>
      </x:c>
    </x:row>
    <x:row r="15">
      <x:c r="A15" s="12" t="str">
        <x:v>Marketplace Analytics</x:v>
      </x:c>
      <x:c r="B15" s="12" t="str">
        <x:v>L205-L215</x:v>
      </x:c>
      <x:c r="C15" s="12" t="str">
        <x:v>AN, SANA, SDASH</x:v>
      </x:c>
      <x:c r="D15" s="12" t="str">
        <x:v>Primary funnel and derived metrics</x:v>
      </x:c>
    </x:row>
    <x:row r="16">
      <x:c r="A16" s="12" t="str">
        <x:v>Verified Transactions</x:v>
      </x:c>
      <x:c r="B16" s="12" t="str">
        <x:v>L217-L230</x:v>
      </x:c>
      <x:c r="C16" s="12" t="str">
        <x:v>TX</x:v>
      </x:c>
      <x:c r="D16" s="12" t="str">
        <x:v>Contact-qualified buyer confirmation</x:v>
      </x:c>
    </x:row>
    <x:row r="17">
      <x:c r="A17" s="12" t="str">
        <x:v>Reviews</x:v>
      </x:c>
      <x:c r="B17" s="12" t="str">
        <x:v>L232-L240</x:v>
      </x:c>
      <x:c r="C17" s="12" t="str">
        <x:v>REVW</x:v>
      </x:c>
      <x:c r="D17" s="12" t="str">
        <x:v>Two-way, double-blind, 10-day window</x:v>
      </x:c>
    </x:row>
    <x:row r="18">
      <x:c r="A18" s="12" t="str">
        <x:v>Reports</x:v>
      </x:c>
      <x:c r="B18" s="12" t="str">
        <x:v>L242-L244</x:v>
      </x:c>
      <x:c r="C18" s="12" t="str">
        <x:v>REP</x:v>
      </x:c>
      <x:c r="D18" s="12" t="str">
        <x:v>Listing/store/review reports</x:v>
      </x:c>
    </x:row>
    <x:row r="19">
      <x:c r="A19" s="12" t="str">
        <x:v>Admin Hub</x:v>
      </x:c>
      <x:c r="B19" s="12" t="str">
        <x:v>L246-L252</x:v>
      </x:c>
      <x:c r="C19" s="12" t="str">
        <x:v>ADMIN</x:v>
      </x:c>
      <x:c r="D19" s="12" t="str">
        <x:v>Operational moderation hub</x:v>
      </x:c>
    </x:row>
    <x:row r="20">
      <x:c r="A20" s="12" t="str">
        <x:v>Email Notifications</x:v>
      </x:c>
      <x:c r="B20" s="12" t="str">
        <x:v>L254-L258</x:v>
      </x:c>
      <x:c r="C20" s="12" t="str">
        <x:v>MAIL</x:v>
      </x:c>
      <x:c r="D20" s="12" t="str">
        <x:v>Centralized marketplace emails</x:v>
      </x:c>
    </x:row>
    <x:row r="21">
      <x:c r="A21" s="12" t="str">
        <x:v>Legal / Safety</x:v>
      </x:c>
      <x:c r="B21" s="12" t="str">
        <x:v>L260-L264</x:v>
      </x:c>
      <x:c r="C21" s="12" t="str">
        <x:v>LEGAL</x:v>
      </x:c>
      <x:c r="D21" s="12" t="str">
        <x:v>Required pages and disclaimers</x:v>
      </x:c>
    </x:row>
    <x:row r="22">
      <x:c r="A22" s="12" t="str">
        <x:v>Out of V1</x:v>
      </x:c>
      <x:c r="B22" s="12" t="str">
        <x:v>L266-L278</x:v>
      </x:c>
      <x:c r="C22" s="12" t="str">
        <x:v>SCOPE</x:v>
      </x:c>
      <x:c r="D22" s="12" t="str">
        <x:v>Guardrails against feature creep</x:v>
      </x:c>
    </x:row>
    <x:row r="23">
      <x:c r="A23" s="12" t="str">
        <x:v>Reliability Baseline</x:v>
      </x:c>
      <x:c r="B23" s="12" t="str">
        <x:v>L286-L302</x:v>
      </x:c>
      <x:c r="C23" s="12" t="str">
        <x:v>REL</x:v>
      </x:c>
      <x:c r="D23" s="12" t="str">
        <x:v>September 2026 performance/reliability invariants</x:v>
      </x:c>
    </x:row>
  </x:sheetData>
  <x:pageMargins left="0.7" right="0.7" top="0.75" bottom="0.75" header="0.3" footer="0.3"/>
  <x:tableParts count="1">
    <x:tablePart xmlns:r="http://schemas.openxmlformats.org/officeDocument/2006/relationships" r:id="R64ccdf66fc0d4447"/>
  </x:tableParts>
</x:worksheet>
</file>